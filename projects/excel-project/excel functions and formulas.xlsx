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Primex\Documents\"/>
    </mc:Choice>
  </mc:AlternateContent>
  <xr:revisionPtr revIDLastSave="0" documentId="8_{E55281D7-452E-4C53-AF5D-FC879B26320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2" i="2"/>
  <c r="F116" i="2" l="1"/>
  <c r="F117" i="2"/>
  <c r="F118" i="2"/>
  <c r="F119" i="2"/>
  <c r="F115" i="2"/>
  <c r="F114" i="2"/>
  <c r="F110" i="2"/>
  <c r="F109" i="2"/>
  <c r="F108" i="2"/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</calcChain>
</file>

<file path=xl/sharedStrings.xml><?xml version="1.0" encoding="utf-8"?>
<sst xmlns="http://schemas.openxmlformats.org/spreadsheetml/2006/main" count="861" uniqueCount="212">
  <si>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</si>
  <si>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</si>
  <si>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</si>
  <si>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</si>
  <si>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</si>
  <si>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</si>
  <si>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</si>
  <si>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</si>
  <si>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</si>
  <si>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</si>
  <si>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</si>
  <si>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</si>
  <si>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</si>
  <si>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</si>
  <si>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</si>
  <si>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</si>
  <si>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</si>
  <si>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</si>
  <si>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</si>
  <si>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</si>
  <si>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</si>
  <si>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</si>
  <si>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</si>
  <si>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</si>
  <si>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</si>
  <si>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</si>
  <si>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</si>
  <si>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</si>
  <si>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</si>
  <si>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</si>
  <si>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</si>
  <si>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</si>
  <si>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</si>
  <si>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</si>
  <si>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</si>
  <si>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</si>
  <si>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</si>
  <si>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</si>
  <si>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</si>
  <si>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</si>
  <si>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</si>
  <si>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</si>
  <si>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</si>
  <si>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</si>
  <si>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</si>
  <si>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</si>
  <si>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</si>
  <si>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</si>
  <si>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</si>
  <si>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</si>
  <si>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</si>
  <si>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</si>
  <si>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</si>
  <si>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</si>
  <si>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</si>
  <si>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</si>
  <si>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</si>
  <si>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</si>
  <si>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</si>
  <si>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</si>
  <si>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</si>
  <si>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</si>
  <si>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</si>
  <si>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</si>
  <si>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</si>
  <si>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</si>
  <si>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</si>
  <si>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</si>
  <si>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</si>
  <si>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</si>
  <si>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</si>
  <si>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</si>
  <si>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</si>
  <si>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</si>
  <si>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</si>
  <si>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</si>
  <si>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</si>
  <si>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</si>
  <si>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</si>
  <si>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</si>
  <si>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</si>
  <si>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</si>
  <si>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</si>
  <si>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</si>
  <si>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</si>
  <si>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</si>
  <si>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</si>
  <si>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</si>
  <si>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</si>
  <si>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</si>
  <si>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</si>
  <si>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</si>
  <si>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</si>
  <si>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</si>
  <si>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</si>
  <si>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</si>
  <si>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</si>
  <si>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</si>
  <si>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</si>
  <si>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</si>
  <si>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</si>
  <si>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</si>
  <si>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</si>
  <si>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</si>
  <si>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</si>
  <si>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</si>
  <si>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</si>
  <si>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</si>
  <si>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</si>
  <si>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</si>
  <si>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</si>
  <si>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</si>
  <si>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</si>
  <si>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</si>
  <si>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</si>
  <si>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</si>
  <si>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</si>
  <si>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</si>
  <si>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</si>
  <si>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</si>
  <si>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</si>
  <si>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</si>
  <si>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</si>
  <si>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</si>
  <si>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</si>
  <si>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</si>
  <si>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</si>
  <si>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</si>
  <si>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</si>
  <si>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</si>
  <si>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</si>
  <si>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</si>
  <si>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</si>
  <si>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</si>
  <si>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</si>
  <si>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</si>
  <si>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</si>
  <si>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</si>
  <si>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</si>
  <si>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</si>
  <si>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</si>
  <si>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</si>
  <si>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</si>
  <si>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</si>
  <si>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</si>
  <si>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</si>
  <si>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</si>
  <si>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</si>
  <si>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</si>
  <si>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</si>
  <si>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</si>
  <si>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</si>
  <si>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</si>
  <si>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</si>
  <si>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</si>
  <si>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</si>
  <si>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</si>
  <si>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</si>
  <si>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</si>
  <si>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</si>
  <si>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</si>
  <si>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</si>
  <si>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</si>
  <si>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</si>
  <si>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</si>
  <si>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</si>
  <si>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</si>
  <si>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</si>
  <si>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</si>
  <si>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Submit via this link.</t>
  </si>
  <si>
    <t xml:space="preserve">Employee ID </t>
  </si>
  <si>
    <t xml:space="preserve">FIRST NAME </t>
  </si>
  <si>
    <t>LAST NAME</t>
  </si>
  <si>
    <t>Sade</t>
  </si>
  <si>
    <t>Faith</t>
  </si>
  <si>
    <t>Ibrahim</t>
  </si>
  <si>
    <t>Tunde</t>
  </si>
  <si>
    <t>James</t>
  </si>
  <si>
    <t>Tope</t>
  </si>
  <si>
    <t>Chika</t>
  </si>
  <si>
    <t>Maria</t>
  </si>
  <si>
    <t>Ngozi</t>
  </si>
  <si>
    <t>Emeka</t>
  </si>
  <si>
    <t>Bassey</t>
  </si>
  <si>
    <t>Udo</t>
  </si>
  <si>
    <t>Musa</t>
  </si>
  <si>
    <t>Salisu</t>
  </si>
  <si>
    <t>Obi</t>
  </si>
  <si>
    <t>Ade</t>
  </si>
  <si>
    <t>Umeh</t>
  </si>
  <si>
    <t>Okafor</t>
  </si>
  <si>
    <t>Bello</t>
  </si>
  <si>
    <t>John</t>
  </si>
  <si>
    <t xml:space="preserve"> </t>
  </si>
  <si>
    <t>Email</t>
  </si>
  <si>
    <t>Upper Case</t>
  </si>
  <si>
    <t>Lower Case</t>
  </si>
  <si>
    <t>Proper Case</t>
  </si>
  <si>
    <t>Aggregate functions</t>
  </si>
  <si>
    <t>Total Salary</t>
  </si>
  <si>
    <t>Average Salary</t>
  </si>
  <si>
    <t>Total Number of Employees</t>
  </si>
  <si>
    <t>Conditional Aggregation</t>
  </si>
  <si>
    <t>Total Salary for Sales Department</t>
  </si>
  <si>
    <t>Average salary for HR Department</t>
  </si>
  <si>
    <t>Total Salary for lagos employees with more 3years experience</t>
  </si>
  <si>
    <t>Average Salary for female employees in Lagos</t>
  </si>
  <si>
    <t>Count Male Employees in Lagos</t>
  </si>
  <si>
    <t>Maximum Salary for IT Department</t>
  </si>
  <si>
    <t xml:space="preserve"> https://docs.google.com/forms/d/1XlNYHeYal-dyobjPkKfbrCW7qvB8kNe_O7pfYNYinq8/edit?ts=6a2fc4d9  </t>
  </si>
  <si>
    <t>Trim</t>
  </si>
  <si>
    <t>Length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</si>
</sst>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>
    <font>
      <sz val="11"/>
      <name val="Calibri"/>
    </font>
    <font>
      <b/>
      <sz val="11"/>
      <color rgb="FF000000"/>
      <name val="Calibri"/>
      <charset val="134"/>
    </font>
    <font>
      <sz val="11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8"/>
      <name val="Calibri"/>
    </font>
    <font>
      <sz val="11"/>
      <color theme="1" tint="0.34998626667073579"/>
      <name val="Calibri"/>
      <family val="2"/>
    </font>
    <font>
      <b/>
      <sz val="11"/>
      <name val="Calibri"/>
      <family val="2"/>
    </font>
    <font>
      <u/>
      <sz val="11"/>
      <color rgb="FF800080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4" fontId="2" fillId="0" borderId="0" applyFont="0" applyFill="0" applyBorder="0" applyAlignment="0" applyProtection="0"/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>
      <alignment vertical="center"/>
    </xf>
    <xf numFmtId="0" fontId="3" fillId="3" borderId="2" xfId="0" applyFont="1" applyFill="1" applyBorder="1" applyAlignment="1">
      <alignment horizontal="center" vertical="top"/>
    </xf>
    <xf numFmtId="44" fontId="0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0" fontId="6" fillId="0" borderId="0" xfId="0" applyFont="1">
      <alignment vertical="center"/>
    </xf>
    <xf numFmtId="0" fontId="0" fillId="4" borderId="1" xfId="0" applyFill="1" applyBorder="1">
      <alignment vertical="center"/>
    </xf>
    <xf numFmtId="44" fontId="0" fillId="4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2" borderId="1" xfId="0" applyFill="1" applyBorder="1">
      <alignment vertical="center"/>
    </xf>
    <xf numFmtId="0" fontId="7" fillId="3" borderId="1" xfId="0" applyFont="1" applyFill="1" applyBorder="1">
      <alignment vertical="center"/>
    </xf>
    <xf numFmtId="0" fontId="8" fillId="2" borderId="0" xfId="0" applyFont="1" applyFill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opLeftCell="A49" workbookViewId="0">
      <selection activeCell="A65" sqref="A65"/>
    </sheetView>
  </sheetViews>
  <sheetFormatPr defaultColWidth="9" defaultRowHeight="14.4"/>
  <cols>
    <col min="1" max="1" width="126.88671875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  <row r="20" spans="1:1">
      <c r="A20" t="s">
        <v>10</v>
      </c>
    </row>
    <row r="22" spans="1:1">
      <c r="A22" t="s">
        <v>11</v>
      </c>
    </row>
    <row r="24" spans="1:1">
      <c r="A24" t="s">
        <v>12</v>
      </c>
    </row>
    <row r="26" spans="1:1">
      <c r="A26" t="s">
        <v>13</v>
      </c>
    </row>
    <row r="28" spans="1:1">
      <c r="A28" t="s">
        <v>14</v>
      </c>
    </row>
    <row r="30" spans="1:1">
      <c r="A30" t="s">
        <v>15</v>
      </c>
    </row>
    <row r="32" spans="1:1">
      <c r="A32" t="s">
        <v>16</v>
      </c>
    </row>
    <row r="35" spans="1:1">
      <c r="A35" t="s">
        <v>17</v>
      </c>
    </row>
    <row r="37" spans="1:1">
      <c r="A37" t="s">
        <v>18</v>
      </c>
    </row>
    <row r="39" spans="1:1">
      <c r="A39" t="s">
        <v>19</v>
      </c>
    </row>
    <row r="41" spans="1:1">
      <c r="A41" t="s">
        <v>20</v>
      </c>
    </row>
    <row r="43" spans="1:1">
      <c r="A43" t="s">
        <v>21</v>
      </c>
    </row>
    <row r="45" spans="1:1">
      <c r="A45" t="s">
        <v>22</v>
      </c>
    </row>
    <row r="48" spans="1:1">
      <c r="A48" t="s">
        <v>23</v>
      </c>
    </row>
    <row r="50" spans="1:1">
      <c r="A50" t="s">
        <v>24</v>
      </c>
    </row>
    <row r="52" spans="1:1">
      <c r="A52" t="s">
        <v>25</v>
      </c>
    </row>
    <row r="54" spans="1:1">
      <c r="A54" t="s">
        <v>26</v>
      </c>
    </row>
    <row r="56" spans="1:1">
      <c r="A56" t="s">
        <v>27</v>
      </c>
    </row>
    <row r="58" spans="1:1">
      <c r="A58" t="s">
        <v>28</v>
      </c>
    </row>
    <row r="60" spans="1:1">
      <c r="A60" t="s">
        <v>29</v>
      </c>
    </row>
    <row r="64" spans="1:1">
      <c r="A64" t="s">
        <v>169</v>
      </c>
    </row>
    <row r="65" spans="1:1">
      <c r="A65" s="15" t="s">
        <v>209</v>
      </c>
    </row>
  </sheetData>
  <hyperlinks>
    <hyperlink ref="A65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9"/>
  <sheetViews>
    <sheetView tabSelected="1" topLeftCell="A95" workbookViewId="0">
      <selection activeCell="E107" sqref="E107"/>
    </sheetView>
  </sheetViews>
  <sheetFormatPr defaultColWidth="9" defaultRowHeight="14.4"/>
  <cols>
    <col min="1" max="1" width="13.33203125" customWidth="1"/>
    <col min="2" max="2" width="17.88671875" customWidth="1"/>
    <col min="3" max="3" width="18.33203125" customWidth="1"/>
    <col min="4" max="4" width="18.21875" customWidth="1"/>
    <col min="5" max="5" width="51.88671875" customWidth="1"/>
    <col min="6" max="6" width="19.77734375" customWidth="1"/>
    <col min="7" max="7" width="17.109375" customWidth="1"/>
    <col min="8" max="8" width="13.77734375" customWidth="1"/>
    <col min="9" max="9" width="11.6640625" customWidth="1"/>
    <col min="10" max="10" width="12" customWidth="1"/>
    <col min="11" max="11" width="26.44140625" customWidth="1"/>
    <col min="12" max="12" width="25.88671875" customWidth="1"/>
    <col min="13" max="13" width="19.6640625" customWidth="1"/>
    <col min="14" max="14" width="14.88671875" customWidth="1"/>
    <col min="15" max="15" width="17.44140625" customWidth="1"/>
    <col min="16" max="16" width="21.5546875" customWidth="1"/>
  </cols>
  <sheetData>
    <row r="1" spans="1:16">
      <c r="A1" s="2" t="s">
        <v>170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5" t="s">
        <v>171</v>
      </c>
      <c r="J1" s="5" t="s">
        <v>172</v>
      </c>
      <c r="K1" s="5" t="s">
        <v>194</v>
      </c>
      <c r="L1" s="5" t="s">
        <v>211</v>
      </c>
      <c r="M1" s="5" t="s">
        <v>195</v>
      </c>
      <c r="N1" s="5" t="s">
        <v>196</v>
      </c>
      <c r="O1" s="2" t="s">
        <v>197</v>
      </c>
      <c r="P1" s="14" t="s">
        <v>210</v>
      </c>
    </row>
    <row r="2" spans="1:16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6">
        <v>400712</v>
      </c>
      <c r="G2" s="1">
        <v>4</v>
      </c>
      <c r="H2" s="1" t="s">
        <v>42</v>
      </c>
      <c r="I2" s="13" t="s">
        <v>173</v>
      </c>
      <c r="J2" s="13" t="s">
        <v>183</v>
      </c>
      <c r="K2" s="1" t="str">
        <f>I2&amp;". "&amp;J2&amp;"@dame.com"</f>
        <v>Sade. Bassey@dame.com</v>
      </c>
      <c r="L2" s="1">
        <f>LEN(B2)</f>
        <v>11</v>
      </c>
      <c r="M2" s="1" t="str">
        <f>UPPER(C2)</f>
        <v>IT</v>
      </c>
      <c r="N2" s="1" t="str">
        <f>LOWER(C2)</f>
        <v>it</v>
      </c>
      <c r="O2" s="1" t="str">
        <f>PROPER(C2)</f>
        <v>It</v>
      </c>
      <c r="P2" s="1" t="str">
        <f>TRIM(B2)</f>
        <v>Sade Bassey</v>
      </c>
    </row>
    <row r="3" spans="1:16">
      <c r="A3" s="1" t="s">
        <v>43</v>
      </c>
      <c r="B3" s="1" t="s">
        <v>38</v>
      </c>
      <c r="C3" s="1" t="s">
        <v>44</v>
      </c>
      <c r="D3" s="1" t="s">
        <v>45</v>
      </c>
      <c r="E3" s="1" t="s">
        <v>46</v>
      </c>
      <c r="F3" s="6">
        <v>200754</v>
      </c>
      <c r="G3" s="1">
        <v>10</v>
      </c>
      <c r="H3" s="1" t="s">
        <v>47</v>
      </c>
      <c r="I3" s="13" t="s">
        <v>173</v>
      </c>
      <c r="J3" s="13" t="s">
        <v>183</v>
      </c>
      <c r="K3" s="1" t="str">
        <f>I3&amp;"."&amp;J3&amp;"@dame.com"</f>
        <v>Sade.Bassey@dame.com</v>
      </c>
      <c r="L3" s="1">
        <f t="shared" ref="L3:L66" si="0">LEN(B3)</f>
        <v>11</v>
      </c>
      <c r="M3" s="1" t="str">
        <f t="shared" ref="M3:M66" si="1">UPPER(C3)</f>
        <v>MARKETING</v>
      </c>
      <c r="N3" s="1" t="str">
        <f t="shared" ref="N3:N66" si="2">LOWER(C3)</f>
        <v>marketing</v>
      </c>
      <c r="O3" s="1" t="str">
        <f t="shared" ref="O3:O66" si="3">PROPER(C3)</f>
        <v>Marketing</v>
      </c>
      <c r="P3" s="1" t="str">
        <f t="shared" ref="P3:P66" si="4">TRIM(B3)</f>
        <v>Sade Bassey</v>
      </c>
    </row>
    <row r="4" spans="1:16">
      <c r="A4" s="1" t="s">
        <v>48</v>
      </c>
      <c r="B4" s="1" t="s">
        <v>49</v>
      </c>
      <c r="C4" s="1" t="s">
        <v>50</v>
      </c>
      <c r="D4" s="1" t="s">
        <v>45</v>
      </c>
      <c r="E4" s="1" t="s">
        <v>41</v>
      </c>
      <c r="F4" s="6">
        <v>457735</v>
      </c>
      <c r="G4" s="1">
        <v>3</v>
      </c>
      <c r="H4" s="1" t="s">
        <v>42</v>
      </c>
      <c r="I4" s="13" t="s">
        <v>174</v>
      </c>
      <c r="J4" s="13" t="s">
        <v>184</v>
      </c>
      <c r="K4" s="1" t="str">
        <f t="shared" ref="K4:K66" si="5">I4&amp;". "&amp;J4&amp;"@dame.com"</f>
        <v>Faith. Udo@dame.com</v>
      </c>
      <c r="L4" s="1">
        <f t="shared" si="0"/>
        <v>9</v>
      </c>
      <c r="M4" s="1" t="str">
        <f t="shared" si="1"/>
        <v>SALES</v>
      </c>
      <c r="N4" s="1" t="str">
        <f t="shared" si="2"/>
        <v>sales</v>
      </c>
      <c r="O4" s="1" t="str">
        <f t="shared" si="3"/>
        <v>Sales</v>
      </c>
      <c r="P4" s="1" t="str">
        <f t="shared" si="4"/>
        <v>Faith Udo</v>
      </c>
    </row>
    <row r="5" spans="1:16">
      <c r="A5" s="1" t="s">
        <v>51</v>
      </c>
      <c r="B5" s="1" t="s">
        <v>38</v>
      </c>
      <c r="C5" s="1" t="s">
        <v>52</v>
      </c>
      <c r="D5" s="1" t="s">
        <v>53</v>
      </c>
      <c r="E5" s="1" t="s">
        <v>41</v>
      </c>
      <c r="F5" s="6">
        <v>337091</v>
      </c>
      <c r="G5" s="1">
        <v>2</v>
      </c>
      <c r="H5" s="1" t="s">
        <v>54</v>
      </c>
      <c r="I5" s="13" t="s">
        <v>173</v>
      </c>
      <c r="J5" s="13" t="s">
        <v>183</v>
      </c>
      <c r="K5" s="1" t="str">
        <f t="shared" si="5"/>
        <v>Sade. Bassey@dame.com</v>
      </c>
      <c r="L5" s="1">
        <f t="shared" si="0"/>
        <v>11</v>
      </c>
      <c r="M5" s="1" t="str">
        <f t="shared" si="1"/>
        <v>FINANCE</v>
      </c>
      <c r="N5" s="1" t="str">
        <f t="shared" si="2"/>
        <v>finance</v>
      </c>
      <c r="O5" s="1" t="str">
        <f t="shared" si="3"/>
        <v>Finance</v>
      </c>
      <c r="P5" s="1" t="str">
        <f t="shared" si="4"/>
        <v>Sade Bassey</v>
      </c>
    </row>
    <row r="6" spans="1:16">
      <c r="A6" s="1" t="s">
        <v>55</v>
      </c>
      <c r="B6" s="1" t="s">
        <v>56</v>
      </c>
      <c r="C6" s="1" t="s">
        <v>39</v>
      </c>
      <c r="D6" s="1" t="s">
        <v>45</v>
      </c>
      <c r="E6" s="1" t="s">
        <v>46</v>
      </c>
      <c r="F6" s="6">
        <v>436492</v>
      </c>
      <c r="G6" s="1">
        <v>5</v>
      </c>
      <c r="H6" s="1" t="s">
        <v>57</v>
      </c>
      <c r="I6" s="13" t="s">
        <v>175</v>
      </c>
      <c r="J6" s="13" t="s">
        <v>185</v>
      </c>
      <c r="K6" s="1" t="str">
        <f t="shared" si="5"/>
        <v>Ibrahim. Musa@dame.com</v>
      </c>
      <c r="L6" s="1">
        <f t="shared" si="0"/>
        <v>12</v>
      </c>
      <c r="M6" s="1" t="str">
        <f t="shared" si="1"/>
        <v>IT</v>
      </c>
      <c r="N6" s="1" t="str">
        <f t="shared" si="2"/>
        <v>it</v>
      </c>
      <c r="O6" s="1" t="str">
        <f t="shared" si="3"/>
        <v>It</v>
      </c>
      <c r="P6" s="1" t="str">
        <f t="shared" si="4"/>
        <v>Ibrahim Musa</v>
      </c>
    </row>
    <row r="7" spans="1:16">
      <c r="A7" s="1" t="s">
        <v>58</v>
      </c>
      <c r="B7" s="1" t="s">
        <v>59</v>
      </c>
      <c r="C7" s="1" t="s">
        <v>39</v>
      </c>
      <c r="D7" s="1" t="s">
        <v>60</v>
      </c>
      <c r="E7" s="1" t="s">
        <v>41</v>
      </c>
      <c r="F7" s="6">
        <v>404484</v>
      </c>
      <c r="G7" s="1">
        <v>10</v>
      </c>
      <c r="H7" s="1" t="s">
        <v>54</v>
      </c>
      <c r="I7" s="13" t="s">
        <v>176</v>
      </c>
      <c r="J7" s="13" t="s">
        <v>186</v>
      </c>
      <c r="K7" s="1" t="str">
        <f t="shared" si="5"/>
        <v>Tunde. Salisu@dame.com</v>
      </c>
      <c r="L7" s="1">
        <f t="shared" si="0"/>
        <v>12</v>
      </c>
      <c r="M7" s="1" t="str">
        <f t="shared" si="1"/>
        <v>IT</v>
      </c>
      <c r="N7" s="1" t="str">
        <f t="shared" si="2"/>
        <v>it</v>
      </c>
      <c r="O7" s="1" t="str">
        <f t="shared" si="3"/>
        <v>It</v>
      </c>
      <c r="P7" s="1" t="str">
        <f t="shared" si="4"/>
        <v>Tunde Salisu</v>
      </c>
    </row>
    <row r="8" spans="1:16">
      <c r="A8" s="1" t="s">
        <v>61</v>
      </c>
      <c r="B8" s="1" t="s">
        <v>62</v>
      </c>
      <c r="C8" s="1" t="s">
        <v>39</v>
      </c>
      <c r="D8" s="1" t="s">
        <v>40</v>
      </c>
      <c r="E8" s="1" t="s">
        <v>41</v>
      </c>
      <c r="F8" s="6">
        <v>450806</v>
      </c>
      <c r="G8" s="1">
        <v>3</v>
      </c>
      <c r="H8" s="1" t="s">
        <v>47</v>
      </c>
      <c r="I8" s="13" t="s">
        <v>177</v>
      </c>
      <c r="J8" s="13" t="s">
        <v>187</v>
      </c>
      <c r="K8" s="1" t="str">
        <f t="shared" si="5"/>
        <v>James. Obi@dame.com</v>
      </c>
      <c r="L8" s="1">
        <f t="shared" si="0"/>
        <v>9</v>
      </c>
      <c r="M8" s="1" t="str">
        <f t="shared" si="1"/>
        <v>IT</v>
      </c>
      <c r="N8" s="1" t="str">
        <f t="shared" si="2"/>
        <v>it</v>
      </c>
      <c r="O8" s="1" t="str">
        <f t="shared" si="3"/>
        <v>It</v>
      </c>
      <c r="P8" s="1" t="str">
        <f t="shared" si="4"/>
        <v>James Obi</v>
      </c>
    </row>
    <row r="9" spans="1:16">
      <c r="A9" s="1" t="s">
        <v>63</v>
      </c>
      <c r="B9" s="1" t="s">
        <v>56</v>
      </c>
      <c r="C9" s="1" t="s">
        <v>52</v>
      </c>
      <c r="D9" s="1" t="s">
        <v>45</v>
      </c>
      <c r="E9" s="1" t="s">
        <v>41</v>
      </c>
      <c r="F9" s="6">
        <v>307961</v>
      </c>
      <c r="G9" s="1">
        <v>2</v>
      </c>
      <c r="H9" s="1" t="s">
        <v>64</v>
      </c>
      <c r="I9" s="13" t="s">
        <v>175</v>
      </c>
      <c r="J9" s="13" t="s">
        <v>185</v>
      </c>
      <c r="K9" s="1" t="str">
        <f t="shared" si="5"/>
        <v>Ibrahim. Musa@dame.com</v>
      </c>
      <c r="L9" s="1">
        <f t="shared" si="0"/>
        <v>12</v>
      </c>
      <c r="M9" s="1" t="str">
        <f t="shared" si="1"/>
        <v>FINANCE</v>
      </c>
      <c r="N9" s="1" t="str">
        <f t="shared" si="2"/>
        <v>finance</v>
      </c>
      <c r="O9" s="1" t="str">
        <f t="shared" si="3"/>
        <v>Finance</v>
      </c>
      <c r="P9" s="1" t="str">
        <f t="shared" si="4"/>
        <v>Ibrahim Musa</v>
      </c>
    </row>
    <row r="10" spans="1:16">
      <c r="A10" s="1" t="s">
        <v>65</v>
      </c>
      <c r="B10" s="1" t="s">
        <v>49</v>
      </c>
      <c r="C10" s="1" t="s">
        <v>50</v>
      </c>
      <c r="D10" s="1" t="s">
        <v>66</v>
      </c>
      <c r="E10" s="1" t="s">
        <v>46</v>
      </c>
      <c r="F10" s="6">
        <v>246421</v>
      </c>
      <c r="G10" s="1">
        <v>6</v>
      </c>
      <c r="H10" s="1" t="s">
        <v>57</v>
      </c>
      <c r="I10" s="13" t="s">
        <v>174</v>
      </c>
      <c r="J10" s="13" t="s">
        <v>184</v>
      </c>
      <c r="K10" s="1" t="str">
        <f t="shared" si="5"/>
        <v>Faith. Udo@dame.com</v>
      </c>
      <c r="L10" s="1">
        <f t="shared" si="0"/>
        <v>9</v>
      </c>
      <c r="M10" s="1" t="str">
        <f t="shared" si="1"/>
        <v>SALES</v>
      </c>
      <c r="N10" s="1" t="str">
        <f t="shared" si="2"/>
        <v>sales</v>
      </c>
      <c r="O10" s="1" t="str">
        <f t="shared" si="3"/>
        <v>Sales</v>
      </c>
      <c r="P10" s="1" t="str">
        <f t="shared" si="4"/>
        <v>Faith Udo</v>
      </c>
    </row>
    <row r="11" spans="1:16">
      <c r="A11" s="1" t="s">
        <v>67</v>
      </c>
      <c r="B11" s="1" t="s">
        <v>68</v>
      </c>
      <c r="C11" s="1" t="s">
        <v>69</v>
      </c>
      <c r="D11" s="1" t="s">
        <v>66</v>
      </c>
      <c r="E11" s="1" t="s">
        <v>46</v>
      </c>
      <c r="F11" s="6">
        <v>403684</v>
      </c>
      <c r="G11" s="1">
        <v>3</v>
      </c>
      <c r="H11" s="1" t="s">
        <v>47</v>
      </c>
      <c r="I11" s="13" t="s">
        <v>178</v>
      </c>
      <c r="J11" s="13" t="s">
        <v>188</v>
      </c>
      <c r="K11" s="1" t="str">
        <f t="shared" si="5"/>
        <v>Tope. Ade@dame.com</v>
      </c>
      <c r="L11" s="1">
        <f t="shared" si="0"/>
        <v>8</v>
      </c>
      <c r="M11" s="1" t="str">
        <f t="shared" si="1"/>
        <v>HR</v>
      </c>
      <c r="N11" s="1" t="str">
        <f t="shared" si="2"/>
        <v>hr</v>
      </c>
      <c r="O11" s="1" t="str">
        <f t="shared" si="3"/>
        <v>Hr</v>
      </c>
      <c r="P11" s="1" t="str">
        <f t="shared" si="4"/>
        <v>Tope Ade</v>
      </c>
    </row>
    <row r="12" spans="1:16">
      <c r="A12" s="1" t="s">
        <v>70</v>
      </c>
      <c r="B12" s="1" t="s">
        <v>62</v>
      </c>
      <c r="C12" s="1" t="s">
        <v>44</v>
      </c>
      <c r="D12" s="1" t="s">
        <v>71</v>
      </c>
      <c r="E12" s="1" t="s">
        <v>41</v>
      </c>
      <c r="F12" s="6">
        <v>317995</v>
      </c>
      <c r="G12" s="1">
        <v>9</v>
      </c>
      <c r="H12" s="1" t="s">
        <v>57</v>
      </c>
      <c r="I12" s="13" t="s">
        <v>177</v>
      </c>
      <c r="J12" s="13" t="s">
        <v>187</v>
      </c>
      <c r="K12" s="1" t="str">
        <f t="shared" si="5"/>
        <v>James. Obi@dame.com</v>
      </c>
      <c r="L12" s="1">
        <f t="shared" si="0"/>
        <v>9</v>
      </c>
      <c r="M12" s="1" t="str">
        <f t="shared" si="1"/>
        <v>MARKETING</v>
      </c>
      <c r="N12" s="1" t="str">
        <f t="shared" si="2"/>
        <v>marketing</v>
      </c>
      <c r="O12" s="1" t="str">
        <f t="shared" si="3"/>
        <v>Marketing</v>
      </c>
      <c r="P12" s="1" t="str">
        <f t="shared" si="4"/>
        <v>James Obi</v>
      </c>
    </row>
    <row r="13" spans="1:16">
      <c r="A13" s="1" t="s">
        <v>72</v>
      </c>
      <c r="B13" s="1" t="s">
        <v>73</v>
      </c>
      <c r="C13" s="1" t="s">
        <v>69</v>
      </c>
      <c r="D13" s="1" t="s">
        <v>74</v>
      </c>
      <c r="E13" s="1" t="s">
        <v>41</v>
      </c>
      <c r="F13" s="6">
        <v>242669</v>
      </c>
      <c r="G13" s="1">
        <v>6</v>
      </c>
      <c r="H13" s="1" t="s">
        <v>57</v>
      </c>
      <c r="I13" s="13" t="s">
        <v>179</v>
      </c>
      <c r="J13" s="13" t="s">
        <v>189</v>
      </c>
      <c r="K13" s="1" t="str">
        <f t="shared" si="5"/>
        <v>Chika. Umeh@dame.com</v>
      </c>
      <c r="L13" s="1">
        <f t="shared" si="0"/>
        <v>10</v>
      </c>
      <c r="M13" s="1" t="str">
        <f t="shared" si="1"/>
        <v>HR</v>
      </c>
      <c r="N13" s="1" t="str">
        <f t="shared" si="2"/>
        <v>hr</v>
      </c>
      <c r="O13" s="1" t="str">
        <f t="shared" si="3"/>
        <v>Hr</v>
      </c>
      <c r="P13" s="1" t="str">
        <f t="shared" si="4"/>
        <v>Chika Umeh</v>
      </c>
    </row>
    <row r="14" spans="1:16">
      <c r="A14" s="1" t="s">
        <v>75</v>
      </c>
      <c r="B14" s="1" t="s">
        <v>73</v>
      </c>
      <c r="C14" s="1" t="s">
        <v>69</v>
      </c>
      <c r="D14" s="1" t="s">
        <v>53</v>
      </c>
      <c r="E14" s="1" t="s">
        <v>46</v>
      </c>
      <c r="F14" s="6">
        <v>364238</v>
      </c>
      <c r="G14" s="1">
        <v>7</v>
      </c>
      <c r="H14" s="1" t="s">
        <v>54</v>
      </c>
      <c r="I14" s="13" t="s">
        <v>179</v>
      </c>
      <c r="J14" s="13" t="s">
        <v>189</v>
      </c>
      <c r="K14" s="1" t="str">
        <f t="shared" si="5"/>
        <v>Chika. Umeh@dame.com</v>
      </c>
      <c r="L14" s="1">
        <f t="shared" si="0"/>
        <v>10</v>
      </c>
      <c r="M14" s="1" t="str">
        <f t="shared" si="1"/>
        <v>HR</v>
      </c>
      <c r="N14" s="1" t="str">
        <f t="shared" si="2"/>
        <v>hr</v>
      </c>
      <c r="O14" s="1" t="str">
        <f t="shared" si="3"/>
        <v>Hr</v>
      </c>
      <c r="P14" s="1" t="str">
        <f t="shared" si="4"/>
        <v>Chika Umeh</v>
      </c>
    </row>
    <row r="15" spans="1:16">
      <c r="A15" s="1" t="s">
        <v>76</v>
      </c>
      <c r="B15" s="1" t="s">
        <v>38</v>
      </c>
      <c r="C15" s="1" t="s">
        <v>52</v>
      </c>
      <c r="D15" s="1" t="s">
        <v>77</v>
      </c>
      <c r="E15" s="1" t="s">
        <v>41</v>
      </c>
      <c r="F15" s="6">
        <v>215724</v>
      </c>
      <c r="G15" s="1">
        <v>9</v>
      </c>
      <c r="H15" s="1" t="s">
        <v>64</v>
      </c>
      <c r="I15" s="13" t="s">
        <v>173</v>
      </c>
      <c r="J15" s="13" t="s">
        <v>183</v>
      </c>
      <c r="K15" s="1" t="str">
        <f t="shared" si="5"/>
        <v>Sade. Bassey@dame.com</v>
      </c>
      <c r="L15" s="1">
        <f t="shared" si="0"/>
        <v>11</v>
      </c>
      <c r="M15" s="1" t="str">
        <f t="shared" si="1"/>
        <v>FINANCE</v>
      </c>
      <c r="N15" s="1" t="str">
        <f t="shared" si="2"/>
        <v>finance</v>
      </c>
      <c r="O15" s="1" t="str">
        <f t="shared" si="3"/>
        <v>Finance</v>
      </c>
      <c r="P15" s="1" t="str">
        <f t="shared" si="4"/>
        <v>Sade Bassey</v>
      </c>
    </row>
    <row r="16" spans="1:16">
      <c r="A16" s="1" t="s">
        <v>78</v>
      </c>
      <c r="B16" s="1" t="s">
        <v>73</v>
      </c>
      <c r="C16" s="1" t="s">
        <v>44</v>
      </c>
      <c r="D16" s="1" t="s">
        <v>74</v>
      </c>
      <c r="E16" s="1" t="s">
        <v>46</v>
      </c>
      <c r="F16" s="6">
        <v>301679</v>
      </c>
      <c r="G16" s="1">
        <v>10</v>
      </c>
      <c r="H16" s="1" t="s">
        <v>47</v>
      </c>
      <c r="I16" s="13" t="s">
        <v>179</v>
      </c>
      <c r="J16" s="13" t="s">
        <v>189</v>
      </c>
      <c r="K16" s="1" t="str">
        <f t="shared" si="5"/>
        <v>Chika. Umeh@dame.com</v>
      </c>
      <c r="L16" s="1">
        <f t="shared" si="0"/>
        <v>10</v>
      </c>
      <c r="M16" s="1" t="str">
        <f t="shared" si="1"/>
        <v>MARKETING</v>
      </c>
      <c r="N16" s="1" t="str">
        <f t="shared" si="2"/>
        <v>marketing</v>
      </c>
      <c r="O16" s="1" t="str">
        <f t="shared" si="3"/>
        <v>Marketing</v>
      </c>
      <c r="P16" s="1" t="str">
        <f t="shared" si="4"/>
        <v>Chika Umeh</v>
      </c>
    </row>
    <row r="17" spans="1:16">
      <c r="A17" s="1" t="s">
        <v>79</v>
      </c>
      <c r="B17" s="1" t="s">
        <v>56</v>
      </c>
      <c r="C17" s="1" t="s">
        <v>39</v>
      </c>
      <c r="D17" s="1" t="s">
        <v>77</v>
      </c>
      <c r="E17" s="1" t="s">
        <v>46</v>
      </c>
      <c r="F17" s="6">
        <v>243689</v>
      </c>
      <c r="G17" s="1">
        <v>3</v>
      </c>
      <c r="H17" s="1" t="s">
        <v>57</v>
      </c>
      <c r="I17" s="13" t="s">
        <v>175</v>
      </c>
      <c r="J17" s="13" t="s">
        <v>185</v>
      </c>
      <c r="K17" s="1" t="str">
        <f t="shared" si="5"/>
        <v>Ibrahim. Musa@dame.com</v>
      </c>
      <c r="L17" s="1">
        <f t="shared" si="0"/>
        <v>12</v>
      </c>
      <c r="M17" s="1" t="str">
        <f t="shared" si="1"/>
        <v>IT</v>
      </c>
      <c r="N17" s="1" t="str">
        <f t="shared" si="2"/>
        <v>it</v>
      </c>
      <c r="O17" s="1" t="str">
        <f t="shared" si="3"/>
        <v>It</v>
      </c>
      <c r="P17" s="1" t="str">
        <f t="shared" si="4"/>
        <v>Ibrahim Musa</v>
      </c>
    </row>
    <row r="18" spans="1:16">
      <c r="A18" s="1" t="s">
        <v>80</v>
      </c>
      <c r="B18" s="1" t="s">
        <v>59</v>
      </c>
      <c r="C18" s="1" t="s">
        <v>39</v>
      </c>
      <c r="D18" s="1" t="s">
        <v>40</v>
      </c>
      <c r="E18" s="1" t="s">
        <v>41</v>
      </c>
      <c r="F18" s="6">
        <v>465805</v>
      </c>
      <c r="G18" s="1">
        <v>10</v>
      </c>
      <c r="H18" s="1" t="s">
        <v>47</v>
      </c>
      <c r="I18" s="13" t="s">
        <v>176</v>
      </c>
      <c r="J18" s="13" t="s">
        <v>186</v>
      </c>
      <c r="K18" s="1" t="str">
        <f t="shared" si="5"/>
        <v>Tunde. Salisu@dame.com</v>
      </c>
      <c r="L18" s="1">
        <f t="shared" si="0"/>
        <v>12</v>
      </c>
      <c r="M18" s="1" t="str">
        <f t="shared" si="1"/>
        <v>IT</v>
      </c>
      <c r="N18" s="1" t="str">
        <f t="shared" si="2"/>
        <v>it</v>
      </c>
      <c r="O18" s="1" t="str">
        <f t="shared" si="3"/>
        <v>It</v>
      </c>
      <c r="P18" s="1" t="str">
        <f t="shared" si="4"/>
        <v>Tunde Salisu</v>
      </c>
    </row>
    <row r="19" spans="1:16">
      <c r="A19" s="1" t="s">
        <v>81</v>
      </c>
      <c r="B19" s="1" t="s">
        <v>73</v>
      </c>
      <c r="C19" s="1" t="s">
        <v>44</v>
      </c>
      <c r="D19" s="1" t="s">
        <v>45</v>
      </c>
      <c r="E19" s="1" t="s">
        <v>46</v>
      </c>
      <c r="F19" s="6">
        <v>414186</v>
      </c>
      <c r="G19" s="1">
        <v>7</v>
      </c>
      <c r="H19" s="1" t="s">
        <v>64</v>
      </c>
      <c r="I19" s="13" t="s">
        <v>179</v>
      </c>
      <c r="J19" s="13" t="s">
        <v>189</v>
      </c>
      <c r="K19" s="1" t="str">
        <f t="shared" si="5"/>
        <v>Chika. Umeh@dame.com</v>
      </c>
      <c r="L19" s="1">
        <f t="shared" si="0"/>
        <v>10</v>
      </c>
      <c r="M19" s="1" t="str">
        <f t="shared" si="1"/>
        <v>MARKETING</v>
      </c>
      <c r="N19" s="1" t="str">
        <f t="shared" si="2"/>
        <v>marketing</v>
      </c>
      <c r="O19" s="1" t="str">
        <f t="shared" si="3"/>
        <v>Marketing</v>
      </c>
      <c r="P19" s="1" t="str">
        <f t="shared" si="4"/>
        <v>Chika Umeh</v>
      </c>
    </row>
    <row r="20" spans="1:16">
      <c r="A20" s="1" t="s">
        <v>82</v>
      </c>
      <c r="B20" s="1" t="s">
        <v>83</v>
      </c>
      <c r="C20" s="1" t="s">
        <v>69</v>
      </c>
      <c r="D20" s="1" t="s">
        <v>45</v>
      </c>
      <c r="E20" s="1" t="s">
        <v>46</v>
      </c>
      <c r="F20" s="6">
        <v>282557</v>
      </c>
      <c r="G20" s="1">
        <v>9</v>
      </c>
      <c r="H20" s="1" t="s">
        <v>54</v>
      </c>
      <c r="I20" s="13" t="s">
        <v>180</v>
      </c>
      <c r="J20" s="13" t="s">
        <v>190</v>
      </c>
      <c r="K20" s="1" t="str">
        <f t="shared" si="5"/>
        <v>Maria. Okafor@dame.com</v>
      </c>
      <c r="L20" s="1">
        <f t="shared" si="0"/>
        <v>12</v>
      </c>
      <c r="M20" s="1" t="str">
        <f t="shared" si="1"/>
        <v>HR</v>
      </c>
      <c r="N20" s="1" t="str">
        <f t="shared" si="2"/>
        <v>hr</v>
      </c>
      <c r="O20" s="1" t="str">
        <f t="shared" si="3"/>
        <v>Hr</v>
      </c>
      <c r="P20" s="1" t="str">
        <f t="shared" si="4"/>
        <v>Maria Okafor</v>
      </c>
    </row>
    <row r="21" spans="1:16">
      <c r="A21" s="1" t="s">
        <v>84</v>
      </c>
      <c r="B21" s="1" t="s">
        <v>62</v>
      </c>
      <c r="C21" s="1" t="s">
        <v>69</v>
      </c>
      <c r="D21" s="1" t="s">
        <v>85</v>
      </c>
      <c r="E21" s="1" t="s">
        <v>41</v>
      </c>
      <c r="F21" s="6">
        <v>330692</v>
      </c>
      <c r="G21" s="1">
        <v>10</v>
      </c>
      <c r="H21" s="1" t="s">
        <v>57</v>
      </c>
      <c r="I21" s="13" t="s">
        <v>177</v>
      </c>
      <c r="J21" s="13" t="s">
        <v>187</v>
      </c>
      <c r="K21" s="1" t="str">
        <f t="shared" si="5"/>
        <v>James. Obi@dame.com</v>
      </c>
      <c r="L21" s="1">
        <f t="shared" si="0"/>
        <v>9</v>
      </c>
      <c r="M21" s="1" t="str">
        <f t="shared" si="1"/>
        <v>HR</v>
      </c>
      <c r="N21" s="1" t="str">
        <f t="shared" si="2"/>
        <v>hr</v>
      </c>
      <c r="O21" s="1" t="str">
        <f t="shared" si="3"/>
        <v>Hr</v>
      </c>
      <c r="P21" s="1" t="str">
        <f t="shared" si="4"/>
        <v>James Obi</v>
      </c>
    </row>
    <row r="22" spans="1:16">
      <c r="A22" s="1" t="s">
        <v>86</v>
      </c>
      <c r="B22" s="1" t="s">
        <v>73</v>
      </c>
      <c r="C22" s="1" t="s">
        <v>52</v>
      </c>
      <c r="D22" s="1" t="s">
        <v>53</v>
      </c>
      <c r="E22" s="1" t="s">
        <v>41</v>
      </c>
      <c r="F22" s="6">
        <v>334719</v>
      </c>
      <c r="G22" s="1">
        <v>4</v>
      </c>
      <c r="H22" s="1" t="s">
        <v>42</v>
      </c>
      <c r="I22" s="13" t="s">
        <v>179</v>
      </c>
      <c r="J22" s="13" t="s">
        <v>189</v>
      </c>
      <c r="K22" s="1" t="str">
        <f t="shared" si="5"/>
        <v>Chika. Umeh@dame.com</v>
      </c>
      <c r="L22" s="1">
        <f t="shared" si="0"/>
        <v>10</v>
      </c>
      <c r="M22" s="1" t="str">
        <f t="shared" si="1"/>
        <v>FINANCE</v>
      </c>
      <c r="N22" s="1" t="str">
        <f t="shared" si="2"/>
        <v>finance</v>
      </c>
      <c r="O22" s="1" t="str">
        <f t="shared" si="3"/>
        <v>Finance</v>
      </c>
      <c r="P22" s="1" t="str">
        <f t="shared" si="4"/>
        <v>Chika Umeh</v>
      </c>
    </row>
    <row r="23" spans="1:16">
      <c r="A23" s="1" t="s">
        <v>87</v>
      </c>
      <c r="B23" s="1" t="s">
        <v>38</v>
      </c>
      <c r="C23" s="1" t="s">
        <v>50</v>
      </c>
      <c r="D23" s="1" t="s">
        <v>88</v>
      </c>
      <c r="E23" s="1" t="s">
        <v>46</v>
      </c>
      <c r="F23" s="6">
        <v>237212</v>
      </c>
      <c r="G23" s="1">
        <v>5</v>
      </c>
      <c r="H23" s="1" t="s">
        <v>57</v>
      </c>
      <c r="I23" s="13" t="s">
        <v>173</v>
      </c>
      <c r="J23" s="13" t="s">
        <v>183</v>
      </c>
      <c r="K23" s="1" t="str">
        <f t="shared" si="5"/>
        <v>Sade. Bassey@dame.com</v>
      </c>
      <c r="L23" s="1">
        <f t="shared" si="0"/>
        <v>11</v>
      </c>
      <c r="M23" s="1" t="str">
        <f t="shared" si="1"/>
        <v>SALES</v>
      </c>
      <c r="N23" s="1" t="str">
        <f t="shared" si="2"/>
        <v>sales</v>
      </c>
      <c r="O23" s="1" t="str">
        <f t="shared" si="3"/>
        <v>Sales</v>
      </c>
      <c r="P23" s="1" t="str">
        <f t="shared" si="4"/>
        <v>Sade Bassey</v>
      </c>
    </row>
    <row r="24" spans="1:16">
      <c r="A24" s="1" t="s">
        <v>89</v>
      </c>
      <c r="B24" s="1" t="s">
        <v>49</v>
      </c>
      <c r="C24" s="1" t="s">
        <v>52</v>
      </c>
      <c r="D24" s="1" t="s">
        <v>60</v>
      </c>
      <c r="E24" s="1" t="s">
        <v>46</v>
      </c>
      <c r="F24" s="6">
        <v>382250</v>
      </c>
      <c r="G24" s="1">
        <v>1</v>
      </c>
      <c r="H24" s="1" t="s">
        <v>57</v>
      </c>
      <c r="I24" s="13" t="s">
        <v>174</v>
      </c>
      <c r="J24" s="13" t="s">
        <v>184</v>
      </c>
      <c r="K24" s="1" t="str">
        <f t="shared" si="5"/>
        <v>Faith. Udo@dame.com</v>
      </c>
      <c r="L24" s="1">
        <f t="shared" si="0"/>
        <v>9</v>
      </c>
      <c r="M24" s="1" t="str">
        <f t="shared" si="1"/>
        <v>FINANCE</v>
      </c>
      <c r="N24" s="1" t="str">
        <f t="shared" si="2"/>
        <v>finance</v>
      </c>
      <c r="O24" s="1" t="str">
        <f t="shared" si="3"/>
        <v>Finance</v>
      </c>
      <c r="P24" s="1" t="str">
        <f t="shared" si="4"/>
        <v>Faith Udo</v>
      </c>
    </row>
    <row r="25" spans="1:16">
      <c r="A25" s="1" t="s">
        <v>90</v>
      </c>
      <c r="B25" s="1" t="s">
        <v>68</v>
      </c>
      <c r="C25" s="1" t="s">
        <v>39</v>
      </c>
      <c r="D25" s="1" t="s">
        <v>74</v>
      </c>
      <c r="E25" s="1" t="s">
        <v>46</v>
      </c>
      <c r="F25" s="6">
        <v>422408</v>
      </c>
      <c r="G25" s="1">
        <v>9</v>
      </c>
      <c r="H25" s="1" t="s">
        <v>57</v>
      </c>
      <c r="I25" s="13" t="s">
        <v>178</v>
      </c>
      <c r="J25" s="13" t="s">
        <v>188</v>
      </c>
      <c r="K25" s="1" t="str">
        <f t="shared" si="5"/>
        <v>Tope. Ade@dame.com</v>
      </c>
      <c r="L25" s="1">
        <f t="shared" si="0"/>
        <v>8</v>
      </c>
      <c r="M25" s="1" t="str">
        <f t="shared" si="1"/>
        <v>IT</v>
      </c>
      <c r="N25" s="1" t="str">
        <f t="shared" si="2"/>
        <v>it</v>
      </c>
      <c r="O25" s="1" t="str">
        <f t="shared" si="3"/>
        <v>It</v>
      </c>
      <c r="P25" s="1" t="str">
        <f t="shared" si="4"/>
        <v>Tope Ade</v>
      </c>
    </row>
    <row r="26" spans="1:16">
      <c r="A26" s="1" t="s">
        <v>91</v>
      </c>
      <c r="B26" s="1" t="s">
        <v>92</v>
      </c>
      <c r="C26" s="1" t="s">
        <v>69</v>
      </c>
      <c r="D26" s="1" t="s">
        <v>77</v>
      </c>
      <c r="E26" s="1" t="s">
        <v>41</v>
      </c>
      <c r="F26" s="6">
        <v>291740</v>
      </c>
      <c r="G26" s="1">
        <v>1</v>
      </c>
      <c r="H26" s="1" t="s">
        <v>57</v>
      </c>
      <c r="I26" s="13" t="s">
        <v>181</v>
      </c>
      <c r="J26" s="13" t="s">
        <v>191</v>
      </c>
      <c r="K26" s="1" t="str">
        <f t="shared" si="5"/>
        <v>Ngozi. Bello@dame.com</v>
      </c>
      <c r="L26" s="1">
        <f t="shared" si="0"/>
        <v>11</v>
      </c>
      <c r="M26" s="1" t="str">
        <f t="shared" si="1"/>
        <v>HR</v>
      </c>
      <c r="N26" s="1" t="str">
        <f t="shared" si="2"/>
        <v>hr</v>
      </c>
      <c r="O26" s="1" t="str">
        <f t="shared" si="3"/>
        <v>Hr</v>
      </c>
      <c r="P26" s="1" t="str">
        <f t="shared" si="4"/>
        <v>Ngozi Bello</v>
      </c>
    </row>
    <row r="27" spans="1:16">
      <c r="A27" s="1" t="s">
        <v>93</v>
      </c>
      <c r="B27" s="1" t="s">
        <v>49</v>
      </c>
      <c r="C27" s="1" t="s">
        <v>69</v>
      </c>
      <c r="D27" s="1" t="s">
        <v>88</v>
      </c>
      <c r="E27" s="1" t="s">
        <v>46</v>
      </c>
      <c r="F27" s="6">
        <v>417509</v>
      </c>
      <c r="G27" s="1">
        <v>7</v>
      </c>
      <c r="H27" s="1" t="s">
        <v>64</v>
      </c>
      <c r="I27" s="13" t="s">
        <v>174</v>
      </c>
      <c r="J27" s="13" t="s">
        <v>184</v>
      </c>
      <c r="K27" s="1" t="str">
        <f t="shared" si="5"/>
        <v>Faith. Udo@dame.com</v>
      </c>
      <c r="L27" s="1">
        <f t="shared" si="0"/>
        <v>9</v>
      </c>
      <c r="M27" s="1" t="str">
        <f t="shared" si="1"/>
        <v>HR</v>
      </c>
      <c r="N27" s="1" t="str">
        <f t="shared" si="2"/>
        <v>hr</v>
      </c>
      <c r="O27" s="1" t="str">
        <f t="shared" si="3"/>
        <v>Hr</v>
      </c>
      <c r="P27" s="1" t="str">
        <f t="shared" si="4"/>
        <v>Faith Udo</v>
      </c>
    </row>
    <row r="28" spans="1:16">
      <c r="A28" s="1" t="s">
        <v>94</v>
      </c>
      <c r="B28" s="1" t="s">
        <v>49</v>
      </c>
      <c r="C28" s="1" t="s">
        <v>50</v>
      </c>
      <c r="D28" s="1" t="s">
        <v>45</v>
      </c>
      <c r="E28" s="1" t="s">
        <v>41</v>
      </c>
      <c r="F28" s="6">
        <v>450750</v>
      </c>
      <c r="G28" s="1">
        <v>4</v>
      </c>
      <c r="H28" s="1" t="s">
        <v>42</v>
      </c>
      <c r="I28" s="13" t="s">
        <v>174</v>
      </c>
      <c r="J28" s="13" t="s">
        <v>184</v>
      </c>
      <c r="K28" s="1" t="str">
        <f t="shared" si="5"/>
        <v>Faith. Udo@dame.com</v>
      </c>
      <c r="L28" s="1">
        <f t="shared" si="0"/>
        <v>9</v>
      </c>
      <c r="M28" s="1" t="str">
        <f t="shared" si="1"/>
        <v>SALES</v>
      </c>
      <c r="N28" s="1" t="str">
        <f t="shared" si="2"/>
        <v>sales</v>
      </c>
      <c r="O28" s="1" t="str">
        <f t="shared" si="3"/>
        <v>Sales</v>
      </c>
      <c r="P28" s="1" t="str">
        <f t="shared" si="4"/>
        <v>Faith Udo</v>
      </c>
    </row>
    <row r="29" spans="1:16">
      <c r="A29" s="1" t="s">
        <v>95</v>
      </c>
      <c r="B29" s="1" t="s">
        <v>68</v>
      </c>
      <c r="C29" s="1" t="s">
        <v>69</v>
      </c>
      <c r="D29" s="1" t="s">
        <v>88</v>
      </c>
      <c r="E29" s="1" t="s">
        <v>41</v>
      </c>
      <c r="F29" s="6">
        <v>281642</v>
      </c>
      <c r="G29" s="1">
        <v>5</v>
      </c>
      <c r="H29" s="1" t="s">
        <v>54</v>
      </c>
      <c r="I29" s="13" t="s">
        <v>178</v>
      </c>
      <c r="J29" s="13" t="s">
        <v>188</v>
      </c>
      <c r="K29" s="1" t="str">
        <f t="shared" si="5"/>
        <v>Tope. Ade@dame.com</v>
      </c>
      <c r="L29" s="1">
        <f t="shared" si="0"/>
        <v>8</v>
      </c>
      <c r="M29" s="1" t="str">
        <f t="shared" si="1"/>
        <v>HR</v>
      </c>
      <c r="N29" s="1" t="str">
        <f t="shared" si="2"/>
        <v>hr</v>
      </c>
      <c r="O29" s="1" t="str">
        <f t="shared" si="3"/>
        <v>Hr</v>
      </c>
      <c r="P29" s="1" t="str">
        <f t="shared" si="4"/>
        <v>Tope Ade</v>
      </c>
    </row>
    <row r="30" spans="1:16">
      <c r="A30" s="1" t="s">
        <v>96</v>
      </c>
      <c r="B30" s="1" t="s">
        <v>62</v>
      </c>
      <c r="C30" s="1" t="s">
        <v>50</v>
      </c>
      <c r="D30" s="1" t="s">
        <v>60</v>
      </c>
      <c r="E30" s="1" t="s">
        <v>46</v>
      </c>
      <c r="F30" s="6">
        <v>291645</v>
      </c>
      <c r="G30" s="1">
        <v>10</v>
      </c>
      <c r="H30" s="1" t="s">
        <v>42</v>
      </c>
      <c r="I30" s="13" t="s">
        <v>177</v>
      </c>
      <c r="J30" s="13" t="s">
        <v>187</v>
      </c>
      <c r="K30" s="1" t="str">
        <f t="shared" si="5"/>
        <v>James. Obi@dame.com</v>
      </c>
      <c r="L30" s="1">
        <f t="shared" si="0"/>
        <v>9</v>
      </c>
      <c r="M30" s="1" t="str">
        <f t="shared" si="1"/>
        <v>SALES</v>
      </c>
      <c r="N30" s="1" t="str">
        <f t="shared" si="2"/>
        <v>sales</v>
      </c>
      <c r="O30" s="1" t="str">
        <f t="shared" si="3"/>
        <v>Sales</v>
      </c>
      <c r="P30" s="1" t="str">
        <f t="shared" si="4"/>
        <v>James Obi</v>
      </c>
    </row>
    <row r="31" spans="1:16">
      <c r="A31" s="1" t="s">
        <v>97</v>
      </c>
      <c r="B31" s="1" t="s">
        <v>56</v>
      </c>
      <c r="C31" s="1" t="s">
        <v>39</v>
      </c>
      <c r="D31" s="1" t="s">
        <v>60</v>
      </c>
      <c r="E31" s="1" t="s">
        <v>46</v>
      </c>
      <c r="F31" s="6">
        <v>309288</v>
      </c>
      <c r="G31" s="1">
        <v>7</v>
      </c>
      <c r="H31" s="1" t="s">
        <v>57</v>
      </c>
      <c r="I31" s="13" t="s">
        <v>175</v>
      </c>
      <c r="J31" s="13" t="s">
        <v>185</v>
      </c>
      <c r="K31" s="1" t="str">
        <f t="shared" si="5"/>
        <v>Ibrahim. Musa@dame.com</v>
      </c>
      <c r="L31" s="1">
        <f t="shared" si="0"/>
        <v>12</v>
      </c>
      <c r="M31" s="1" t="str">
        <f t="shared" si="1"/>
        <v>IT</v>
      </c>
      <c r="N31" s="1" t="str">
        <f t="shared" si="2"/>
        <v>it</v>
      </c>
      <c r="O31" s="1" t="str">
        <f t="shared" si="3"/>
        <v>It</v>
      </c>
      <c r="P31" s="1" t="str">
        <f t="shared" si="4"/>
        <v>Ibrahim Musa</v>
      </c>
    </row>
    <row r="32" spans="1:16">
      <c r="A32" s="1" t="s">
        <v>98</v>
      </c>
      <c r="B32" s="1" t="s">
        <v>56</v>
      </c>
      <c r="C32" s="1" t="s">
        <v>69</v>
      </c>
      <c r="D32" s="1" t="s">
        <v>45</v>
      </c>
      <c r="E32" s="1" t="s">
        <v>41</v>
      </c>
      <c r="F32" s="6">
        <v>271687</v>
      </c>
      <c r="G32" s="1">
        <v>10</v>
      </c>
      <c r="H32" s="1" t="s">
        <v>57</v>
      </c>
      <c r="I32" s="13" t="s">
        <v>175</v>
      </c>
      <c r="J32" s="13" t="s">
        <v>185</v>
      </c>
      <c r="K32" s="1" t="str">
        <f t="shared" si="5"/>
        <v>Ibrahim. Musa@dame.com</v>
      </c>
      <c r="L32" s="1">
        <f t="shared" si="0"/>
        <v>12</v>
      </c>
      <c r="M32" s="1" t="str">
        <f t="shared" si="1"/>
        <v>HR</v>
      </c>
      <c r="N32" s="1" t="str">
        <f t="shared" si="2"/>
        <v>hr</v>
      </c>
      <c r="O32" s="1" t="str">
        <f t="shared" si="3"/>
        <v>Hr</v>
      </c>
      <c r="P32" s="1" t="str">
        <f t="shared" si="4"/>
        <v>Ibrahim Musa</v>
      </c>
    </row>
    <row r="33" spans="1:16">
      <c r="A33" s="1" t="s">
        <v>99</v>
      </c>
      <c r="B33" s="1" t="s">
        <v>49</v>
      </c>
      <c r="C33" s="1" t="s">
        <v>39</v>
      </c>
      <c r="D33" s="1" t="s">
        <v>60</v>
      </c>
      <c r="E33" s="1" t="s">
        <v>41</v>
      </c>
      <c r="F33" s="6">
        <v>365101</v>
      </c>
      <c r="G33" s="1">
        <v>9</v>
      </c>
      <c r="H33" s="1" t="s">
        <v>54</v>
      </c>
      <c r="I33" s="13" t="s">
        <v>174</v>
      </c>
      <c r="J33" s="13" t="s">
        <v>184</v>
      </c>
      <c r="K33" s="1" t="str">
        <f t="shared" si="5"/>
        <v>Faith. Udo@dame.com</v>
      </c>
      <c r="L33" s="1">
        <f t="shared" si="0"/>
        <v>9</v>
      </c>
      <c r="M33" s="1" t="str">
        <f t="shared" si="1"/>
        <v>IT</v>
      </c>
      <c r="N33" s="1" t="str">
        <f t="shared" si="2"/>
        <v>it</v>
      </c>
      <c r="O33" s="1" t="str">
        <f t="shared" si="3"/>
        <v>It</v>
      </c>
      <c r="P33" s="1" t="str">
        <f t="shared" si="4"/>
        <v>Faith Udo</v>
      </c>
    </row>
    <row r="34" spans="1:16">
      <c r="A34" s="1" t="s">
        <v>100</v>
      </c>
      <c r="B34" s="1" t="s">
        <v>92</v>
      </c>
      <c r="C34" s="1" t="s">
        <v>39</v>
      </c>
      <c r="D34" s="1" t="s">
        <v>88</v>
      </c>
      <c r="E34" s="1" t="s">
        <v>41</v>
      </c>
      <c r="F34" s="6">
        <v>472149</v>
      </c>
      <c r="G34" s="1">
        <v>7</v>
      </c>
      <c r="H34" s="1" t="s">
        <v>64</v>
      </c>
      <c r="I34" s="13" t="s">
        <v>181</v>
      </c>
      <c r="J34" s="13" t="s">
        <v>191</v>
      </c>
      <c r="K34" s="1" t="str">
        <f t="shared" si="5"/>
        <v>Ngozi. Bello@dame.com</v>
      </c>
      <c r="L34" s="1">
        <f t="shared" si="0"/>
        <v>11</v>
      </c>
      <c r="M34" s="1" t="str">
        <f t="shared" si="1"/>
        <v>IT</v>
      </c>
      <c r="N34" s="1" t="str">
        <f t="shared" si="2"/>
        <v>it</v>
      </c>
      <c r="O34" s="1" t="str">
        <f t="shared" si="3"/>
        <v>It</v>
      </c>
      <c r="P34" s="1" t="str">
        <f t="shared" si="4"/>
        <v>Ngozi Bello</v>
      </c>
    </row>
    <row r="35" spans="1:16">
      <c r="A35" s="1" t="s">
        <v>101</v>
      </c>
      <c r="B35" s="1" t="s">
        <v>56</v>
      </c>
      <c r="C35" s="1" t="s">
        <v>50</v>
      </c>
      <c r="D35" s="1" t="s">
        <v>88</v>
      </c>
      <c r="E35" s="1" t="s">
        <v>41</v>
      </c>
      <c r="F35" s="6">
        <v>408551</v>
      </c>
      <c r="G35" s="1">
        <v>7</v>
      </c>
      <c r="H35" s="1" t="s">
        <v>64</v>
      </c>
      <c r="I35" s="13" t="s">
        <v>175</v>
      </c>
      <c r="J35" s="13" t="s">
        <v>185</v>
      </c>
      <c r="K35" s="1" t="str">
        <f t="shared" si="5"/>
        <v>Ibrahim. Musa@dame.com</v>
      </c>
      <c r="L35" s="1">
        <f t="shared" si="0"/>
        <v>12</v>
      </c>
      <c r="M35" s="1" t="str">
        <f t="shared" si="1"/>
        <v>SALES</v>
      </c>
      <c r="N35" s="1" t="str">
        <f t="shared" si="2"/>
        <v>sales</v>
      </c>
      <c r="O35" s="1" t="str">
        <f t="shared" si="3"/>
        <v>Sales</v>
      </c>
      <c r="P35" s="1" t="str">
        <f t="shared" si="4"/>
        <v>Ibrahim Musa</v>
      </c>
    </row>
    <row r="36" spans="1:16">
      <c r="A36" s="1" t="s">
        <v>102</v>
      </c>
      <c r="B36" s="1" t="s">
        <v>92</v>
      </c>
      <c r="C36" s="1" t="s">
        <v>50</v>
      </c>
      <c r="D36" s="1" t="s">
        <v>88</v>
      </c>
      <c r="E36" s="1" t="s">
        <v>46</v>
      </c>
      <c r="F36" s="6">
        <v>334912</v>
      </c>
      <c r="G36" s="1">
        <v>2</v>
      </c>
      <c r="H36" s="1" t="s">
        <v>64</v>
      </c>
      <c r="I36" s="13" t="s">
        <v>181</v>
      </c>
      <c r="J36" s="13" t="s">
        <v>191</v>
      </c>
      <c r="K36" s="1" t="str">
        <f t="shared" si="5"/>
        <v>Ngozi. Bello@dame.com</v>
      </c>
      <c r="L36" s="1">
        <f t="shared" si="0"/>
        <v>11</v>
      </c>
      <c r="M36" s="1" t="str">
        <f t="shared" si="1"/>
        <v>SALES</v>
      </c>
      <c r="N36" s="1" t="str">
        <f t="shared" si="2"/>
        <v>sales</v>
      </c>
      <c r="O36" s="1" t="str">
        <f t="shared" si="3"/>
        <v>Sales</v>
      </c>
      <c r="P36" s="1" t="str">
        <f t="shared" si="4"/>
        <v>Ngozi Bello</v>
      </c>
    </row>
    <row r="37" spans="1:16">
      <c r="A37" s="1" t="s">
        <v>103</v>
      </c>
      <c r="B37" s="1" t="s">
        <v>73</v>
      </c>
      <c r="C37" s="1" t="s">
        <v>52</v>
      </c>
      <c r="D37" s="1" t="s">
        <v>53</v>
      </c>
      <c r="E37" s="1" t="s">
        <v>46</v>
      </c>
      <c r="F37" s="6">
        <v>311844</v>
      </c>
      <c r="G37" s="1">
        <v>8</v>
      </c>
      <c r="H37" s="1" t="s">
        <v>54</v>
      </c>
      <c r="I37" s="13" t="s">
        <v>179</v>
      </c>
      <c r="J37" s="13" t="s">
        <v>189</v>
      </c>
      <c r="K37" s="1" t="str">
        <f t="shared" si="5"/>
        <v>Chika. Umeh@dame.com</v>
      </c>
      <c r="L37" s="1">
        <f t="shared" si="0"/>
        <v>10</v>
      </c>
      <c r="M37" s="1" t="str">
        <f t="shared" si="1"/>
        <v>FINANCE</v>
      </c>
      <c r="N37" s="1" t="str">
        <f t="shared" si="2"/>
        <v>finance</v>
      </c>
      <c r="O37" s="1" t="str">
        <f t="shared" si="3"/>
        <v>Finance</v>
      </c>
      <c r="P37" s="1" t="str">
        <f t="shared" si="4"/>
        <v>Chika Umeh</v>
      </c>
    </row>
    <row r="38" spans="1:16">
      <c r="A38" s="1" t="s">
        <v>104</v>
      </c>
      <c r="B38" s="1" t="s">
        <v>68</v>
      </c>
      <c r="C38" s="1" t="s">
        <v>44</v>
      </c>
      <c r="D38" s="1" t="s">
        <v>40</v>
      </c>
      <c r="E38" s="1" t="s">
        <v>46</v>
      </c>
      <c r="F38" s="6">
        <v>222804</v>
      </c>
      <c r="G38" s="1">
        <v>8</v>
      </c>
      <c r="H38" s="1" t="s">
        <v>54</v>
      </c>
      <c r="I38" s="13" t="s">
        <v>178</v>
      </c>
      <c r="J38" s="13" t="s">
        <v>188</v>
      </c>
      <c r="K38" s="1" t="str">
        <f t="shared" si="5"/>
        <v>Tope. Ade@dame.com</v>
      </c>
      <c r="L38" s="1">
        <f t="shared" si="0"/>
        <v>8</v>
      </c>
      <c r="M38" s="1" t="str">
        <f t="shared" si="1"/>
        <v>MARKETING</v>
      </c>
      <c r="N38" s="1" t="str">
        <f t="shared" si="2"/>
        <v>marketing</v>
      </c>
      <c r="O38" s="1" t="str">
        <f t="shared" si="3"/>
        <v>Marketing</v>
      </c>
      <c r="P38" s="1" t="str">
        <f t="shared" si="4"/>
        <v>Tope Ade</v>
      </c>
    </row>
    <row r="39" spans="1:16">
      <c r="A39" s="1" t="s">
        <v>105</v>
      </c>
      <c r="B39" s="1" t="s">
        <v>38</v>
      </c>
      <c r="C39" s="1" t="s">
        <v>52</v>
      </c>
      <c r="D39" s="1" t="s">
        <v>77</v>
      </c>
      <c r="E39" s="1" t="s">
        <v>41</v>
      </c>
      <c r="F39" s="6">
        <v>202674</v>
      </c>
      <c r="G39" s="1">
        <v>4</v>
      </c>
      <c r="H39" s="1" t="s">
        <v>42</v>
      </c>
      <c r="I39" s="13" t="s">
        <v>173</v>
      </c>
      <c r="J39" s="13" t="s">
        <v>183</v>
      </c>
      <c r="K39" s="1" t="str">
        <f t="shared" si="5"/>
        <v>Sade. Bassey@dame.com</v>
      </c>
      <c r="L39" s="1">
        <f t="shared" si="0"/>
        <v>11</v>
      </c>
      <c r="M39" s="1" t="str">
        <f t="shared" si="1"/>
        <v>FINANCE</v>
      </c>
      <c r="N39" s="1" t="str">
        <f t="shared" si="2"/>
        <v>finance</v>
      </c>
      <c r="O39" s="1" t="str">
        <f t="shared" si="3"/>
        <v>Finance</v>
      </c>
      <c r="P39" s="1" t="str">
        <f t="shared" si="4"/>
        <v>Sade Bassey</v>
      </c>
    </row>
    <row r="40" spans="1:16">
      <c r="A40" s="1" t="s">
        <v>106</v>
      </c>
      <c r="B40" s="1" t="s">
        <v>38</v>
      </c>
      <c r="C40" s="1" t="s">
        <v>39</v>
      </c>
      <c r="D40" s="1" t="s">
        <v>74</v>
      </c>
      <c r="E40" s="1" t="s">
        <v>41</v>
      </c>
      <c r="F40" s="6">
        <v>481535</v>
      </c>
      <c r="G40" s="1">
        <v>10</v>
      </c>
      <c r="H40" s="1" t="s">
        <v>54</v>
      </c>
      <c r="I40" s="13" t="s">
        <v>173</v>
      </c>
      <c r="J40" s="13" t="s">
        <v>183</v>
      </c>
      <c r="K40" s="1" t="str">
        <f t="shared" si="5"/>
        <v>Sade. Bassey@dame.com</v>
      </c>
      <c r="L40" s="1">
        <f t="shared" si="0"/>
        <v>11</v>
      </c>
      <c r="M40" s="1" t="str">
        <f t="shared" si="1"/>
        <v>IT</v>
      </c>
      <c r="N40" s="1" t="str">
        <f t="shared" si="2"/>
        <v>it</v>
      </c>
      <c r="O40" s="1" t="str">
        <f t="shared" si="3"/>
        <v>It</v>
      </c>
      <c r="P40" s="1" t="str">
        <f t="shared" si="4"/>
        <v>Sade Bassey</v>
      </c>
    </row>
    <row r="41" spans="1:16">
      <c r="A41" s="1" t="s">
        <v>107</v>
      </c>
      <c r="B41" s="1" t="s">
        <v>62</v>
      </c>
      <c r="C41" s="1" t="s">
        <v>52</v>
      </c>
      <c r="D41" s="1" t="s">
        <v>53</v>
      </c>
      <c r="E41" s="1" t="s">
        <v>46</v>
      </c>
      <c r="F41" s="6">
        <v>338509</v>
      </c>
      <c r="G41" s="1">
        <v>1</v>
      </c>
      <c r="H41" s="1" t="s">
        <v>57</v>
      </c>
      <c r="I41" s="13" t="s">
        <v>177</v>
      </c>
      <c r="J41" s="13" t="s">
        <v>187</v>
      </c>
      <c r="K41" s="1" t="str">
        <f t="shared" si="5"/>
        <v>James. Obi@dame.com</v>
      </c>
      <c r="L41" s="1">
        <f t="shared" si="0"/>
        <v>9</v>
      </c>
      <c r="M41" s="1" t="str">
        <f t="shared" si="1"/>
        <v>FINANCE</v>
      </c>
      <c r="N41" s="1" t="str">
        <f t="shared" si="2"/>
        <v>finance</v>
      </c>
      <c r="O41" s="1" t="str">
        <f t="shared" si="3"/>
        <v>Finance</v>
      </c>
      <c r="P41" s="1" t="str">
        <f t="shared" si="4"/>
        <v>James Obi</v>
      </c>
    </row>
    <row r="42" spans="1:16">
      <c r="A42" s="1" t="s">
        <v>108</v>
      </c>
      <c r="B42" s="1" t="s">
        <v>38</v>
      </c>
      <c r="C42" s="1" t="s">
        <v>50</v>
      </c>
      <c r="D42" s="1" t="s">
        <v>53</v>
      </c>
      <c r="E42" s="1" t="s">
        <v>41</v>
      </c>
      <c r="F42" s="6">
        <v>234031</v>
      </c>
      <c r="G42" s="1">
        <v>10</v>
      </c>
      <c r="H42" s="1" t="s">
        <v>47</v>
      </c>
      <c r="I42" s="13" t="s">
        <v>173</v>
      </c>
      <c r="J42" s="13" t="s">
        <v>183</v>
      </c>
      <c r="K42" s="1" t="str">
        <f t="shared" si="5"/>
        <v>Sade. Bassey@dame.com</v>
      </c>
      <c r="L42" s="1">
        <f t="shared" si="0"/>
        <v>11</v>
      </c>
      <c r="M42" s="1" t="str">
        <f t="shared" si="1"/>
        <v>SALES</v>
      </c>
      <c r="N42" s="1" t="str">
        <f t="shared" si="2"/>
        <v>sales</v>
      </c>
      <c r="O42" s="1" t="str">
        <f t="shared" si="3"/>
        <v>Sales</v>
      </c>
      <c r="P42" s="1" t="str">
        <f t="shared" si="4"/>
        <v>Sade Bassey</v>
      </c>
    </row>
    <row r="43" spans="1:16">
      <c r="A43" s="1" t="s">
        <v>109</v>
      </c>
      <c r="B43" s="1" t="s">
        <v>49</v>
      </c>
      <c r="C43" s="1" t="s">
        <v>50</v>
      </c>
      <c r="D43" s="1" t="s">
        <v>60</v>
      </c>
      <c r="E43" s="1" t="s">
        <v>46</v>
      </c>
      <c r="F43" s="6">
        <v>265908</v>
      </c>
      <c r="G43" s="1">
        <v>7</v>
      </c>
      <c r="H43" s="1" t="s">
        <v>47</v>
      </c>
      <c r="I43" s="13" t="s">
        <v>174</v>
      </c>
      <c r="J43" s="13" t="s">
        <v>184</v>
      </c>
      <c r="K43" s="1" t="str">
        <f t="shared" si="5"/>
        <v>Faith. Udo@dame.com</v>
      </c>
      <c r="L43" s="1">
        <f t="shared" si="0"/>
        <v>9</v>
      </c>
      <c r="M43" s="1" t="str">
        <f t="shared" si="1"/>
        <v>SALES</v>
      </c>
      <c r="N43" s="1" t="str">
        <f t="shared" si="2"/>
        <v>sales</v>
      </c>
      <c r="O43" s="1" t="str">
        <f t="shared" si="3"/>
        <v>Sales</v>
      </c>
      <c r="P43" s="1" t="str">
        <f t="shared" si="4"/>
        <v>Faith Udo</v>
      </c>
    </row>
    <row r="44" spans="1:16">
      <c r="A44" s="1" t="s">
        <v>110</v>
      </c>
      <c r="B44" s="1" t="s">
        <v>73</v>
      </c>
      <c r="C44" s="1" t="s">
        <v>39</v>
      </c>
      <c r="D44" s="1" t="s">
        <v>40</v>
      </c>
      <c r="E44" s="1" t="s">
        <v>46</v>
      </c>
      <c r="F44" s="6">
        <v>338554</v>
      </c>
      <c r="G44" s="1">
        <v>1</v>
      </c>
      <c r="H44" s="1" t="s">
        <v>47</v>
      </c>
      <c r="I44" s="13" t="s">
        <v>179</v>
      </c>
      <c r="J44" s="13" t="s">
        <v>189</v>
      </c>
      <c r="K44" s="1" t="str">
        <f t="shared" si="5"/>
        <v>Chika. Umeh@dame.com</v>
      </c>
      <c r="L44" s="1">
        <f t="shared" si="0"/>
        <v>10</v>
      </c>
      <c r="M44" s="1" t="str">
        <f t="shared" si="1"/>
        <v>IT</v>
      </c>
      <c r="N44" s="1" t="str">
        <f t="shared" si="2"/>
        <v>it</v>
      </c>
      <c r="O44" s="1" t="str">
        <f t="shared" si="3"/>
        <v>It</v>
      </c>
      <c r="P44" s="1" t="str">
        <f t="shared" si="4"/>
        <v>Chika Umeh</v>
      </c>
    </row>
    <row r="45" spans="1:16">
      <c r="A45" s="1" t="s">
        <v>111</v>
      </c>
      <c r="B45" s="1" t="s">
        <v>49</v>
      </c>
      <c r="C45" s="1" t="s">
        <v>44</v>
      </c>
      <c r="D45" s="1" t="s">
        <v>77</v>
      </c>
      <c r="E45" s="1" t="s">
        <v>46</v>
      </c>
      <c r="F45" s="6">
        <v>413957</v>
      </c>
      <c r="G45" s="1">
        <v>3</v>
      </c>
      <c r="H45" s="1" t="s">
        <v>57</v>
      </c>
      <c r="I45" s="13" t="s">
        <v>174</v>
      </c>
      <c r="J45" s="13" t="s">
        <v>184</v>
      </c>
      <c r="K45" s="1" t="str">
        <f t="shared" si="5"/>
        <v>Faith. Udo@dame.com</v>
      </c>
      <c r="L45" s="1">
        <f t="shared" si="0"/>
        <v>9</v>
      </c>
      <c r="M45" s="1" t="str">
        <f t="shared" si="1"/>
        <v>MARKETING</v>
      </c>
      <c r="N45" s="1" t="str">
        <f t="shared" si="2"/>
        <v>marketing</v>
      </c>
      <c r="O45" s="1" t="str">
        <f t="shared" si="3"/>
        <v>Marketing</v>
      </c>
      <c r="P45" s="1" t="str">
        <f t="shared" si="4"/>
        <v>Faith Udo</v>
      </c>
    </row>
    <row r="46" spans="1:16">
      <c r="A46" s="1" t="s">
        <v>112</v>
      </c>
      <c r="B46" s="1" t="s">
        <v>38</v>
      </c>
      <c r="C46" s="1" t="s">
        <v>69</v>
      </c>
      <c r="D46" s="1" t="s">
        <v>40</v>
      </c>
      <c r="E46" s="1" t="s">
        <v>41</v>
      </c>
      <c r="F46" s="6">
        <v>485264</v>
      </c>
      <c r="G46" s="1">
        <v>1</v>
      </c>
      <c r="H46" s="1" t="s">
        <v>54</v>
      </c>
      <c r="I46" s="13" t="s">
        <v>173</v>
      </c>
      <c r="J46" s="13" t="s">
        <v>183</v>
      </c>
      <c r="K46" s="1" t="str">
        <f t="shared" si="5"/>
        <v>Sade. Bassey@dame.com</v>
      </c>
      <c r="L46" s="1">
        <f t="shared" si="0"/>
        <v>11</v>
      </c>
      <c r="M46" s="1" t="str">
        <f t="shared" si="1"/>
        <v>HR</v>
      </c>
      <c r="N46" s="1" t="str">
        <f t="shared" si="2"/>
        <v>hr</v>
      </c>
      <c r="O46" s="1" t="str">
        <f t="shared" si="3"/>
        <v>Hr</v>
      </c>
      <c r="P46" s="1" t="str">
        <f t="shared" si="4"/>
        <v>Sade Bassey</v>
      </c>
    </row>
    <row r="47" spans="1:16">
      <c r="A47" s="1" t="s">
        <v>113</v>
      </c>
      <c r="B47" s="1" t="s">
        <v>73</v>
      </c>
      <c r="C47" s="1" t="s">
        <v>50</v>
      </c>
      <c r="D47" s="1" t="s">
        <v>77</v>
      </c>
      <c r="E47" s="1" t="s">
        <v>41</v>
      </c>
      <c r="F47" s="6">
        <v>363350</v>
      </c>
      <c r="G47" s="1">
        <v>1</v>
      </c>
      <c r="H47" s="1" t="s">
        <v>47</v>
      </c>
      <c r="I47" s="13" t="s">
        <v>179</v>
      </c>
      <c r="J47" s="13" t="s">
        <v>189</v>
      </c>
      <c r="K47" s="1" t="str">
        <f t="shared" si="5"/>
        <v>Chika. Umeh@dame.com</v>
      </c>
      <c r="L47" s="1">
        <f t="shared" si="0"/>
        <v>10</v>
      </c>
      <c r="M47" s="1" t="str">
        <f t="shared" si="1"/>
        <v>SALES</v>
      </c>
      <c r="N47" s="1" t="str">
        <f t="shared" si="2"/>
        <v>sales</v>
      </c>
      <c r="O47" s="1" t="str">
        <f t="shared" si="3"/>
        <v>Sales</v>
      </c>
      <c r="P47" s="1" t="str">
        <f t="shared" si="4"/>
        <v>Chika Umeh</v>
      </c>
    </row>
    <row r="48" spans="1:16">
      <c r="A48" s="1" t="s">
        <v>114</v>
      </c>
      <c r="B48" s="1" t="s">
        <v>59</v>
      </c>
      <c r="C48" s="1" t="s">
        <v>69</v>
      </c>
      <c r="D48" s="1" t="s">
        <v>45</v>
      </c>
      <c r="E48" s="1" t="s">
        <v>41</v>
      </c>
      <c r="F48" s="6">
        <v>428005</v>
      </c>
      <c r="G48" s="1">
        <v>4</v>
      </c>
      <c r="H48" s="1" t="s">
        <v>54</v>
      </c>
      <c r="I48" s="13" t="s">
        <v>176</v>
      </c>
      <c r="J48" s="13" t="s">
        <v>186</v>
      </c>
      <c r="K48" s="1" t="str">
        <f t="shared" si="5"/>
        <v>Tunde. Salisu@dame.com</v>
      </c>
      <c r="L48" s="1">
        <f t="shared" si="0"/>
        <v>12</v>
      </c>
      <c r="M48" s="1" t="str">
        <f t="shared" si="1"/>
        <v>HR</v>
      </c>
      <c r="N48" s="1" t="str">
        <f t="shared" si="2"/>
        <v>hr</v>
      </c>
      <c r="O48" s="1" t="str">
        <f t="shared" si="3"/>
        <v>Hr</v>
      </c>
      <c r="P48" s="1" t="str">
        <f t="shared" si="4"/>
        <v>Tunde Salisu</v>
      </c>
    </row>
    <row r="49" spans="1:16">
      <c r="A49" s="1" t="s">
        <v>115</v>
      </c>
      <c r="B49" s="1" t="s">
        <v>116</v>
      </c>
      <c r="C49" s="1" t="s">
        <v>69</v>
      </c>
      <c r="D49" s="1" t="s">
        <v>60</v>
      </c>
      <c r="E49" s="1" t="s">
        <v>46</v>
      </c>
      <c r="F49" s="6">
        <v>326652</v>
      </c>
      <c r="G49" s="1">
        <v>6</v>
      </c>
      <c r="H49" s="1" t="s">
        <v>54</v>
      </c>
      <c r="I49" s="13" t="s">
        <v>182</v>
      </c>
      <c r="J49" s="13" t="s">
        <v>192</v>
      </c>
      <c r="K49" s="1" t="str">
        <f t="shared" si="5"/>
        <v>Emeka. John@dame.com</v>
      </c>
      <c r="L49" s="1">
        <f t="shared" si="0"/>
        <v>10</v>
      </c>
      <c r="M49" s="1" t="str">
        <f t="shared" si="1"/>
        <v>HR</v>
      </c>
      <c r="N49" s="1" t="str">
        <f t="shared" si="2"/>
        <v>hr</v>
      </c>
      <c r="O49" s="1" t="str">
        <f t="shared" si="3"/>
        <v>Hr</v>
      </c>
      <c r="P49" s="1" t="str">
        <f t="shared" si="4"/>
        <v>Emeka John</v>
      </c>
    </row>
    <row r="50" spans="1:16">
      <c r="A50" s="1" t="s">
        <v>117</v>
      </c>
      <c r="B50" s="1" t="s">
        <v>38</v>
      </c>
      <c r="C50" s="1" t="s">
        <v>69</v>
      </c>
      <c r="D50" s="1" t="s">
        <v>77</v>
      </c>
      <c r="E50" s="1" t="s">
        <v>46</v>
      </c>
      <c r="F50" s="6">
        <v>421377</v>
      </c>
      <c r="G50" s="1">
        <v>4</v>
      </c>
      <c r="H50" s="1" t="s">
        <v>42</v>
      </c>
      <c r="I50" s="13" t="s">
        <v>173</v>
      </c>
      <c r="J50" s="13" t="s">
        <v>183</v>
      </c>
      <c r="K50" s="1" t="str">
        <f t="shared" si="5"/>
        <v>Sade. Bassey@dame.com</v>
      </c>
      <c r="L50" s="1">
        <f t="shared" si="0"/>
        <v>11</v>
      </c>
      <c r="M50" s="1" t="str">
        <f t="shared" si="1"/>
        <v>HR</v>
      </c>
      <c r="N50" s="1" t="str">
        <f t="shared" si="2"/>
        <v>hr</v>
      </c>
      <c r="O50" s="1" t="str">
        <f t="shared" si="3"/>
        <v>Hr</v>
      </c>
      <c r="P50" s="1" t="str">
        <f t="shared" si="4"/>
        <v>Sade Bassey</v>
      </c>
    </row>
    <row r="51" spans="1:16">
      <c r="A51" s="1" t="s">
        <v>118</v>
      </c>
      <c r="B51" s="1" t="s">
        <v>116</v>
      </c>
      <c r="C51" s="1" t="s">
        <v>52</v>
      </c>
      <c r="D51" s="1" t="s">
        <v>45</v>
      </c>
      <c r="E51" s="1" t="s">
        <v>41</v>
      </c>
      <c r="F51" s="6">
        <v>433017</v>
      </c>
      <c r="G51" s="1">
        <v>3</v>
      </c>
      <c r="H51" s="1" t="s">
        <v>47</v>
      </c>
      <c r="I51" s="13" t="s">
        <v>182</v>
      </c>
      <c r="J51" s="13" t="s">
        <v>192</v>
      </c>
      <c r="K51" s="1" t="str">
        <f t="shared" si="5"/>
        <v>Emeka. John@dame.com</v>
      </c>
      <c r="L51" s="1">
        <f t="shared" si="0"/>
        <v>10</v>
      </c>
      <c r="M51" s="1" t="str">
        <f t="shared" si="1"/>
        <v>FINANCE</v>
      </c>
      <c r="N51" s="1" t="str">
        <f t="shared" si="2"/>
        <v>finance</v>
      </c>
      <c r="O51" s="1" t="str">
        <f t="shared" si="3"/>
        <v>Finance</v>
      </c>
      <c r="P51" s="1" t="str">
        <f t="shared" si="4"/>
        <v>Emeka John</v>
      </c>
    </row>
    <row r="52" spans="1:16">
      <c r="A52" s="1" t="s">
        <v>119</v>
      </c>
      <c r="B52" s="1" t="s">
        <v>62</v>
      </c>
      <c r="C52" s="1" t="s">
        <v>69</v>
      </c>
      <c r="D52" s="1" t="s">
        <v>74</v>
      </c>
      <c r="E52" s="1" t="s">
        <v>41</v>
      </c>
      <c r="F52" s="6">
        <v>353050</v>
      </c>
      <c r="G52" s="1">
        <v>7</v>
      </c>
      <c r="H52" s="1" t="s">
        <v>54</v>
      </c>
      <c r="I52" s="13" t="s">
        <v>177</v>
      </c>
      <c r="J52" s="13" t="s">
        <v>187</v>
      </c>
      <c r="K52" s="1" t="str">
        <f t="shared" si="5"/>
        <v>James. Obi@dame.com</v>
      </c>
      <c r="L52" s="1">
        <f t="shared" si="0"/>
        <v>9</v>
      </c>
      <c r="M52" s="1" t="str">
        <f t="shared" si="1"/>
        <v>HR</v>
      </c>
      <c r="N52" s="1" t="str">
        <f t="shared" si="2"/>
        <v>hr</v>
      </c>
      <c r="O52" s="1" t="str">
        <f t="shared" si="3"/>
        <v>Hr</v>
      </c>
      <c r="P52" s="1" t="str">
        <f t="shared" si="4"/>
        <v>James Obi</v>
      </c>
    </row>
    <row r="53" spans="1:16">
      <c r="A53" s="1" t="s">
        <v>120</v>
      </c>
      <c r="B53" s="1" t="s">
        <v>92</v>
      </c>
      <c r="C53" s="1" t="s">
        <v>39</v>
      </c>
      <c r="D53" s="1" t="s">
        <v>45</v>
      </c>
      <c r="E53" s="1" t="s">
        <v>41</v>
      </c>
      <c r="F53" s="6">
        <v>450941</v>
      </c>
      <c r="G53" s="1">
        <v>3</v>
      </c>
      <c r="H53" s="1" t="s">
        <v>54</v>
      </c>
      <c r="I53" s="13" t="s">
        <v>181</v>
      </c>
      <c r="J53" s="13" t="s">
        <v>191</v>
      </c>
      <c r="K53" s="1" t="str">
        <f t="shared" si="5"/>
        <v>Ngozi. Bello@dame.com</v>
      </c>
      <c r="L53" s="1">
        <f t="shared" si="0"/>
        <v>11</v>
      </c>
      <c r="M53" s="1" t="str">
        <f t="shared" si="1"/>
        <v>IT</v>
      </c>
      <c r="N53" s="1" t="str">
        <f t="shared" si="2"/>
        <v>it</v>
      </c>
      <c r="O53" s="1" t="str">
        <f t="shared" si="3"/>
        <v>It</v>
      </c>
      <c r="P53" s="1" t="str">
        <f t="shared" si="4"/>
        <v>Ngozi Bello</v>
      </c>
    </row>
    <row r="54" spans="1:16">
      <c r="A54" s="1" t="s">
        <v>121</v>
      </c>
      <c r="B54" s="1" t="s">
        <v>49</v>
      </c>
      <c r="C54" s="1" t="s">
        <v>52</v>
      </c>
      <c r="D54" s="1" t="s">
        <v>74</v>
      </c>
      <c r="E54" s="1" t="s">
        <v>41</v>
      </c>
      <c r="F54" s="6">
        <v>337560</v>
      </c>
      <c r="G54" s="1">
        <v>2</v>
      </c>
      <c r="H54" s="1" t="s">
        <v>47</v>
      </c>
      <c r="I54" s="13" t="s">
        <v>174</v>
      </c>
      <c r="J54" s="13" t="s">
        <v>184</v>
      </c>
      <c r="K54" s="1" t="str">
        <f t="shared" si="5"/>
        <v>Faith. Udo@dame.com</v>
      </c>
      <c r="L54" s="1">
        <f t="shared" si="0"/>
        <v>9</v>
      </c>
      <c r="M54" s="1" t="str">
        <f t="shared" si="1"/>
        <v>FINANCE</v>
      </c>
      <c r="N54" s="1" t="str">
        <f t="shared" si="2"/>
        <v>finance</v>
      </c>
      <c r="O54" s="1" t="str">
        <f t="shared" si="3"/>
        <v>Finance</v>
      </c>
      <c r="P54" s="1" t="str">
        <f t="shared" si="4"/>
        <v>Faith Udo</v>
      </c>
    </row>
    <row r="55" spans="1:16">
      <c r="A55" s="1" t="s">
        <v>122</v>
      </c>
      <c r="B55" s="1" t="s">
        <v>38</v>
      </c>
      <c r="C55" s="1" t="s">
        <v>50</v>
      </c>
      <c r="D55" s="1" t="s">
        <v>88</v>
      </c>
      <c r="E55" s="1" t="s">
        <v>46</v>
      </c>
      <c r="F55" s="6">
        <v>325849</v>
      </c>
      <c r="G55" s="1">
        <v>2</v>
      </c>
      <c r="H55" s="1" t="s">
        <v>57</v>
      </c>
      <c r="I55" s="13" t="s">
        <v>173</v>
      </c>
      <c r="J55" s="13" t="s">
        <v>183</v>
      </c>
      <c r="K55" s="1" t="str">
        <f t="shared" si="5"/>
        <v>Sade. Bassey@dame.com</v>
      </c>
      <c r="L55" s="1">
        <f t="shared" si="0"/>
        <v>11</v>
      </c>
      <c r="M55" s="1" t="str">
        <f t="shared" si="1"/>
        <v>SALES</v>
      </c>
      <c r="N55" s="1" t="str">
        <f t="shared" si="2"/>
        <v>sales</v>
      </c>
      <c r="O55" s="1" t="str">
        <f t="shared" si="3"/>
        <v>Sales</v>
      </c>
      <c r="P55" s="1" t="str">
        <f t="shared" si="4"/>
        <v>Sade Bassey</v>
      </c>
    </row>
    <row r="56" spans="1:16">
      <c r="A56" s="1" t="s">
        <v>123</v>
      </c>
      <c r="B56" s="1" t="s">
        <v>116</v>
      </c>
      <c r="C56" s="1" t="s">
        <v>44</v>
      </c>
      <c r="D56" s="1" t="s">
        <v>88</v>
      </c>
      <c r="E56" s="1" t="s">
        <v>46</v>
      </c>
      <c r="F56" s="6">
        <v>252488</v>
      </c>
      <c r="G56" s="1">
        <v>5</v>
      </c>
      <c r="H56" s="1" t="s">
        <v>54</v>
      </c>
      <c r="I56" s="13" t="s">
        <v>182</v>
      </c>
      <c r="J56" s="13" t="s">
        <v>192</v>
      </c>
      <c r="K56" s="1" t="str">
        <f t="shared" si="5"/>
        <v>Emeka. John@dame.com</v>
      </c>
      <c r="L56" s="1">
        <f t="shared" si="0"/>
        <v>10</v>
      </c>
      <c r="M56" s="1" t="str">
        <f t="shared" si="1"/>
        <v>MARKETING</v>
      </c>
      <c r="N56" s="1" t="str">
        <f t="shared" si="2"/>
        <v>marketing</v>
      </c>
      <c r="O56" s="1" t="str">
        <f t="shared" si="3"/>
        <v>Marketing</v>
      </c>
      <c r="P56" s="1" t="str">
        <f t="shared" si="4"/>
        <v>Emeka John</v>
      </c>
    </row>
    <row r="57" spans="1:16">
      <c r="A57" s="1" t="s">
        <v>124</v>
      </c>
      <c r="B57" s="1" t="s">
        <v>116</v>
      </c>
      <c r="C57" s="1" t="s">
        <v>52</v>
      </c>
      <c r="D57" s="1" t="s">
        <v>71</v>
      </c>
      <c r="E57" s="1" t="s">
        <v>46</v>
      </c>
      <c r="F57" s="6">
        <v>261616</v>
      </c>
      <c r="G57" s="1">
        <v>2</v>
      </c>
      <c r="H57" s="1" t="s">
        <v>47</v>
      </c>
      <c r="I57" s="13" t="s">
        <v>182</v>
      </c>
      <c r="J57" s="13" t="s">
        <v>192</v>
      </c>
      <c r="K57" s="1" t="str">
        <f t="shared" si="5"/>
        <v>Emeka. John@dame.com</v>
      </c>
      <c r="L57" s="1">
        <f t="shared" si="0"/>
        <v>10</v>
      </c>
      <c r="M57" s="1" t="str">
        <f t="shared" si="1"/>
        <v>FINANCE</v>
      </c>
      <c r="N57" s="1" t="str">
        <f t="shared" si="2"/>
        <v>finance</v>
      </c>
      <c r="O57" s="1" t="str">
        <f t="shared" si="3"/>
        <v>Finance</v>
      </c>
      <c r="P57" s="1" t="str">
        <f t="shared" si="4"/>
        <v>Emeka John</v>
      </c>
    </row>
    <row r="58" spans="1:16">
      <c r="A58" s="1" t="s">
        <v>125</v>
      </c>
      <c r="B58" s="1" t="s">
        <v>62</v>
      </c>
      <c r="C58" s="1" t="s">
        <v>44</v>
      </c>
      <c r="D58" s="1" t="s">
        <v>71</v>
      </c>
      <c r="E58" s="1" t="s">
        <v>41</v>
      </c>
      <c r="F58" s="6">
        <v>296968</v>
      </c>
      <c r="G58" s="1">
        <v>4</v>
      </c>
      <c r="H58" s="1" t="s">
        <v>47</v>
      </c>
      <c r="I58" s="13" t="s">
        <v>177</v>
      </c>
      <c r="J58" s="13" t="s">
        <v>187</v>
      </c>
      <c r="K58" s="1" t="str">
        <f t="shared" si="5"/>
        <v>James. Obi@dame.com</v>
      </c>
      <c r="L58" s="1">
        <f t="shared" si="0"/>
        <v>9</v>
      </c>
      <c r="M58" s="1" t="str">
        <f t="shared" si="1"/>
        <v>MARKETING</v>
      </c>
      <c r="N58" s="1" t="str">
        <f t="shared" si="2"/>
        <v>marketing</v>
      </c>
      <c r="O58" s="1" t="str">
        <f t="shared" si="3"/>
        <v>Marketing</v>
      </c>
      <c r="P58" s="1" t="str">
        <f t="shared" si="4"/>
        <v>James Obi</v>
      </c>
    </row>
    <row r="59" spans="1:16">
      <c r="A59" s="1" t="s">
        <v>126</v>
      </c>
      <c r="B59" s="1" t="s">
        <v>116</v>
      </c>
      <c r="C59" s="1" t="s">
        <v>39</v>
      </c>
      <c r="D59" s="1" t="s">
        <v>71</v>
      </c>
      <c r="E59" s="1" t="s">
        <v>46</v>
      </c>
      <c r="F59" s="6">
        <v>369656</v>
      </c>
      <c r="G59" s="1">
        <v>8</v>
      </c>
      <c r="H59" s="1" t="s">
        <v>54</v>
      </c>
      <c r="I59" s="13" t="s">
        <v>182</v>
      </c>
      <c r="J59" s="13" t="s">
        <v>192</v>
      </c>
      <c r="K59" s="1" t="str">
        <f t="shared" si="5"/>
        <v>Emeka. John@dame.com</v>
      </c>
      <c r="L59" s="1">
        <f t="shared" si="0"/>
        <v>10</v>
      </c>
      <c r="M59" s="1" t="str">
        <f t="shared" si="1"/>
        <v>IT</v>
      </c>
      <c r="N59" s="1" t="str">
        <f t="shared" si="2"/>
        <v>it</v>
      </c>
      <c r="O59" s="1" t="str">
        <f t="shared" si="3"/>
        <v>It</v>
      </c>
      <c r="P59" s="1" t="str">
        <f t="shared" si="4"/>
        <v>Emeka John</v>
      </c>
    </row>
    <row r="60" spans="1:16">
      <c r="A60" s="1" t="s">
        <v>127</v>
      </c>
      <c r="B60" s="1" t="s">
        <v>92</v>
      </c>
      <c r="C60" s="1" t="s">
        <v>44</v>
      </c>
      <c r="D60" s="1" t="s">
        <v>60</v>
      </c>
      <c r="E60" s="1" t="s">
        <v>41</v>
      </c>
      <c r="F60" s="6">
        <v>385249</v>
      </c>
      <c r="G60" s="1">
        <v>3</v>
      </c>
      <c r="H60" s="1" t="s">
        <v>47</v>
      </c>
      <c r="I60" s="13" t="s">
        <v>181</v>
      </c>
      <c r="J60" s="13" t="s">
        <v>191</v>
      </c>
      <c r="K60" s="1" t="str">
        <f t="shared" si="5"/>
        <v>Ngozi. Bello@dame.com</v>
      </c>
      <c r="L60" s="1">
        <f t="shared" si="0"/>
        <v>11</v>
      </c>
      <c r="M60" s="1" t="str">
        <f t="shared" si="1"/>
        <v>MARKETING</v>
      </c>
      <c r="N60" s="1" t="str">
        <f t="shared" si="2"/>
        <v>marketing</v>
      </c>
      <c r="O60" s="1" t="str">
        <f t="shared" si="3"/>
        <v>Marketing</v>
      </c>
      <c r="P60" s="1" t="str">
        <f t="shared" si="4"/>
        <v>Ngozi Bello</v>
      </c>
    </row>
    <row r="61" spans="1:16">
      <c r="A61" s="1" t="s">
        <v>128</v>
      </c>
      <c r="B61" s="1" t="s">
        <v>49</v>
      </c>
      <c r="C61" s="1" t="s">
        <v>39</v>
      </c>
      <c r="D61" s="1" t="s">
        <v>88</v>
      </c>
      <c r="E61" s="1" t="s">
        <v>41</v>
      </c>
      <c r="F61" s="6">
        <v>485946</v>
      </c>
      <c r="G61" s="1">
        <v>4</v>
      </c>
      <c r="H61" s="1" t="s">
        <v>57</v>
      </c>
      <c r="I61" s="13" t="s">
        <v>174</v>
      </c>
      <c r="J61" s="13" t="s">
        <v>184</v>
      </c>
      <c r="K61" s="1" t="str">
        <f t="shared" si="5"/>
        <v>Faith. Udo@dame.com</v>
      </c>
      <c r="L61" s="1">
        <f t="shared" si="0"/>
        <v>9</v>
      </c>
      <c r="M61" s="1" t="str">
        <f t="shared" si="1"/>
        <v>IT</v>
      </c>
      <c r="N61" s="1" t="str">
        <f t="shared" si="2"/>
        <v>it</v>
      </c>
      <c r="O61" s="1" t="str">
        <f t="shared" si="3"/>
        <v>It</v>
      </c>
      <c r="P61" s="1" t="str">
        <f t="shared" si="4"/>
        <v>Faith Udo</v>
      </c>
    </row>
    <row r="62" spans="1:16">
      <c r="A62" s="1" t="s">
        <v>129</v>
      </c>
      <c r="B62" s="1" t="s">
        <v>92</v>
      </c>
      <c r="C62" s="1" t="s">
        <v>52</v>
      </c>
      <c r="D62" s="1" t="s">
        <v>45</v>
      </c>
      <c r="E62" s="1" t="s">
        <v>46</v>
      </c>
      <c r="F62" s="6">
        <v>481575</v>
      </c>
      <c r="G62" s="1">
        <v>3</v>
      </c>
      <c r="H62" s="1" t="s">
        <v>47</v>
      </c>
      <c r="I62" s="13" t="s">
        <v>181</v>
      </c>
      <c r="J62" s="13" t="s">
        <v>191</v>
      </c>
      <c r="K62" s="1" t="str">
        <f t="shared" si="5"/>
        <v>Ngozi. Bello@dame.com</v>
      </c>
      <c r="L62" s="1">
        <f t="shared" si="0"/>
        <v>11</v>
      </c>
      <c r="M62" s="1" t="str">
        <f t="shared" si="1"/>
        <v>FINANCE</v>
      </c>
      <c r="N62" s="1" t="str">
        <f t="shared" si="2"/>
        <v>finance</v>
      </c>
      <c r="O62" s="1" t="str">
        <f t="shared" si="3"/>
        <v>Finance</v>
      </c>
      <c r="P62" s="1" t="str">
        <f t="shared" si="4"/>
        <v>Ngozi Bello</v>
      </c>
    </row>
    <row r="63" spans="1:16">
      <c r="A63" s="1" t="s">
        <v>130</v>
      </c>
      <c r="B63" s="1" t="s">
        <v>73</v>
      </c>
      <c r="C63" s="1" t="s">
        <v>39</v>
      </c>
      <c r="D63" s="1" t="s">
        <v>45</v>
      </c>
      <c r="E63" s="1" t="s">
        <v>46</v>
      </c>
      <c r="F63" s="6">
        <v>345273</v>
      </c>
      <c r="G63" s="1">
        <v>6</v>
      </c>
      <c r="H63" s="1" t="s">
        <v>47</v>
      </c>
      <c r="I63" s="13" t="s">
        <v>179</v>
      </c>
      <c r="J63" s="13" t="s">
        <v>189</v>
      </c>
      <c r="K63" s="1" t="str">
        <f t="shared" si="5"/>
        <v>Chika. Umeh@dame.com</v>
      </c>
      <c r="L63" s="1">
        <f t="shared" si="0"/>
        <v>10</v>
      </c>
      <c r="M63" s="1" t="str">
        <f t="shared" si="1"/>
        <v>IT</v>
      </c>
      <c r="N63" s="1" t="str">
        <f t="shared" si="2"/>
        <v>it</v>
      </c>
      <c r="O63" s="1" t="str">
        <f t="shared" si="3"/>
        <v>It</v>
      </c>
      <c r="P63" s="1" t="str">
        <f t="shared" si="4"/>
        <v>Chika Umeh</v>
      </c>
    </row>
    <row r="64" spans="1:16">
      <c r="A64" s="1" t="s">
        <v>131</v>
      </c>
      <c r="B64" s="1" t="s">
        <v>83</v>
      </c>
      <c r="C64" s="1" t="s">
        <v>39</v>
      </c>
      <c r="D64" s="1" t="s">
        <v>66</v>
      </c>
      <c r="E64" s="1" t="s">
        <v>46</v>
      </c>
      <c r="F64" s="6">
        <v>201172</v>
      </c>
      <c r="G64" s="1">
        <v>8</v>
      </c>
      <c r="H64" s="1" t="s">
        <v>57</v>
      </c>
      <c r="I64" s="13" t="s">
        <v>180</v>
      </c>
      <c r="J64" s="13" t="s">
        <v>190</v>
      </c>
      <c r="K64" s="1" t="str">
        <f t="shared" si="5"/>
        <v>Maria. Okafor@dame.com</v>
      </c>
      <c r="L64" s="1">
        <f t="shared" si="0"/>
        <v>12</v>
      </c>
      <c r="M64" s="1" t="str">
        <f t="shared" si="1"/>
        <v>IT</v>
      </c>
      <c r="N64" s="1" t="str">
        <f t="shared" si="2"/>
        <v>it</v>
      </c>
      <c r="O64" s="1" t="str">
        <f t="shared" si="3"/>
        <v>It</v>
      </c>
      <c r="P64" s="1" t="str">
        <f t="shared" si="4"/>
        <v>Maria Okafor</v>
      </c>
    </row>
    <row r="65" spans="1:16">
      <c r="A65" s="1" t="s">
        <v>132</v>
      </c>
      <c r="B65" s="1" t="s">
        <v>59</v>
      </c>
      <c r="C65" s="1" t="s">
        <v>44</v>
      </c>
      <c r="D65" s="1" t="s">
        <v>53</v>
      </c>
      <c r="E65" s="1" t="s">
        <v>46</v>
      </c>
      <c r="F65" s="6">
        <v>321800</v>
      </c>
      <c r="G65" s="1">
        <v>7</v>
      </c>
      <c r="H65" s="1" t="s">
        <v>42</v>
      </c>
      <c r="I65" s="13" t="s">
        <v>176</v>
      </c>
      <c r="J65" s="13" t="s">
        <v>186</v>
      </c>
      <c r="K65" s="1" t="str">
        <f t="shared" si="5"/>
        <v>Tunde. Salisu@dame.com</v>
      </c>
      <c r="L65" s="1">
        <f t="shared" si="0"/>
        <v>12</v>
      </c>
      <c r="M65" s="1" t="str">
        <f t="shared" si="1"/>
        <v>MARKETING</v>
      </c>
      <c r="N65" s="1" t="str">
        <f t="shared" si="2"/>
        <v>marketing</v>
      </c>
      <c r="O65" s="1" t="str">
        <f t="shared" si="3"/>
        <v>Marketing</v>
      </c>
      <c r="P65" s="1" t="str">
        <f t="shared" si="4"/>
        <v>Tunde Salisu</v>
      </c>
    </row>
    <row r="66" spans="1:16">
      <c r="A66" s="1" t="s">
        <v>133</v>
      </c>
      <c r="B66" s="1" t="s">
        <v>56</v>
      </c>
      <c r="C66" s="1" t="s">
        <v>50</v>
      </c>
      <c r="D66" s="1" t="s">
        <v>85</v>
      </c>
      <c r="E66" s="1" t="s">
        <v>46</v>
      </c>
      <c r="F66" s="6">
        <v>478662</v>
      </c>
      <c r="G66" s="1">
        <v>2</v>
      </c>
      <c r="H66" s="1" t="s">
        <v>57</v>
      </c>
      <c r="I66" s="13" t="s">
        <v>175</v>
      </c>
      <c r="J66" s="13" t="s">
        <v>185</v>
      </c>
      <c r="K66" s="1" t="str">
        <f t="shared" si="5"/>
        <v>Ibrahim. Musa@dame.com</v>
      </c>
      <c r="L66" s="1">
        <f t="shared" si="0"/>
        <v>12</v>
      </c>
      <c r="M66" s="1" t="str">
        <f t="shared" si="1"/>
        <v>SALES</v>
      </c>
      <c r="N66" s="1" t="str">
        <f t="shared" si="2"/>
        <v>sales</v>
      </c>
      <c r="O66" s="1" t="str">
        <f t="shared" si="3"/>
        <v>Sales</v>
      </c>
      <c r="P66" s="1" t="str">
        <f t="shared" si="4"/>
        <v>Ibrahim Musa</v>
      </c>
    </row>
    <row r="67" spans="1:16">
      <c r="A67" s="1" t="s">
        <v>134</v>
      </c>
      <c r="B67" s="1" t="s">
        <v>62</v>
      </c>
      <c r="C67" s="1" t="s">
        <v>69</v>
      </c>
      <c r="D67" s="1" t="s">
        <v>85</v>
      </c>
      <c r="E67" s="1" t="s">
        <v>46</v>
      </c>
      <c r="F67" s="6">
        <v>447144</v>
      </c>
      <c r="G67" s="1">
        <v>10</v>
      </c>
      <c r="H67" s="1" t="s">
        <v>64</v>
      </c>
      <c r="I67" s="13" t="s">
        <v>177</v>
      </c>
      <c r="J67" s="13" t="s">
        <v>187</v>
      </c>
      <c r="K67" s="1" t="str">
        <f t="shared" ref="K67:K101" si="6">I67&amp;". "&amp;J67&amp;"@dame.com"</f>
        <v>James. Obi@dame.com</v>
      </c>
      <c r="L67" s="1">
        <f t="shared" ref="L67:L101" si="7">LEN(B67)</f>
        <v>9</v>
      </c>
      <c r="M67" s="1" t="str">
        <f t="shared" ref="M67:M101" si="8">UPPER(C67)</f>
        <v>HR</v>
      </c>
      <c r="N67" s="1" t="str">
        <f t="shared" ref="N67:N101" si="9">LOWER(C67)</f>
        <v>hr</v>
      </c>
      <c r="O67" s="1" t="str">
        <f t="shared" ref="O67:O101" si="10">PROPER(C67)</f>
        <v>Hr</v>
      </c>
      <c r="P67" s="1" t="str">
        <f t="shared" ref="P67:P101" si="11">TRIM(B67)</f>
        <v>James Obi</v>
      </c>
    </row>
    <row r="68" spans="1:16">
      <c r="A68" s="1" t="s">
        <v>135</v>
      </c>
      <c r="B68" s="1" t="s">
        <v>49</v>
      </c>
      <c r="C68" s="1" t="s">
        <v>52</v>
      </c>
      <c r="D68" s="1" t="s">
        <v>74</v>
      </c>
      <c r="E68" s="1" t="s">
        <v>46</v>
      </c>
      <c r="F68" s="6">
        <v>367942</v>
      </c>
      <c r="G68" s="1">
        <v>8</v>
      </c>
      <c r="H68" s="1" t="s">
        <v>42</v>
      </c>
      <c r="I68" s="13" t="s">
        <v>174</v>
      </c>
      <c r="J68" s="13" t="s">
        <v>184</v>
      </c>
      <c r="K68" s="1" t="str">
        <f t="shared" si="6"/>
        <v>Faith. Udo@dame.com</v>
      </c>
      <c r="L68" s="1">
        <f t="shared" si="7"/>
        <v>9</v>
      </c>
      <c r="M68" s="1" t="str">
        <f t="shared" si="8"/>
        <v>FINANCE</v>
      </c>
      <c r="N68" s="1" t="str">
        <f t="shared" si="9"/>
        <v>finance</v>
      </c>
      <c r="O68" s="1" t="str">
        <f t="shared" si="10"/>
        <v>Finance</v>
      </c>
      <c r="P68" s="1" t="str">
        <f t="shared" si="11"/>
        <v>Faith Udo</v>
      </c>
    </row>
    <row r="69" spans="1:16">
      <c r="A69" s="1" t="s">
        <v>136</v>
      </c>
      <c r="B69" s="1" t="s">
        <v>92</v>
      </c>
      <c r="C69" s="1" t="s">
        <v>50</v>
      </c>
      <c r="D69" s="1" t="s">
        <v>88</v>
      </c>
      <c r="E69" s="1" t="s">
        <v>41</v>
      </c>
      <c r="F69" s="6">
        <v>225459</v>
      </c>
      <c r="G69" s="1">
        <v>2</v>
      </c>
      <c r="H69" s="1" t="s">
        <v>57</v>
      </c>
      <c r="I69" s="13" t="s">
        <v>181</v>
      </c>
      <c r="J69" s="13" t="s">
        <v>191</v>
      </c>
      <c r="K69" s="1" t="str">
        <f t="shared" si="6"/>
        <v>Ngozi. Bello@dame.com</v>
      </c>
      <c r="L69" s="1">
        <f t="shared" si="7"/>
        <v>11</v>
      </c>
      <c r="M69" s="1" t="str">
        <f t="shared" si="8"/>
        <v>SALES</v>
      </c>
      <c r="N69" s="1" t="str">
        <f t="shared" si="9"/>
        <v>sales</v>
      </c>
      <c r="O69" s="1" t="str">
        <f t="shared" si="10"/>
        <v>Sales</v>
      </c>
      <c r="P69" s="1" t="str">
        <f t="shared" si="11"/>
        <v>Ngozi Bello</v>
      </c>
    </row>
    <row r="70" spans="1:16">
      <c r="A70" s="1" t="s">
        <v>137</v>
      </c>
      <c r="B70" s="1" t="s">
        <v>59</v>
      </c>
      <c r="C70" s="1" t="s">
        <v>39</v>
      </c>
      <c r="D70" s="1" t="s">
        <v>85</v>
      </c>
      <c r="E70" s="1" t="s">
        <v>41</v>
      </c>
      <c r="F70" s="6">
        <v>334185</v>
      </c>
      <c r="G70" s="1">
        <v>2</v>
      </c>
      <c r="H70" s="1" t="s">
        <v>42</v>
      </c>
      <c r="I70" s="13" t="s">
        <v>176</v>
      </c>
      <c r="J70" s="13" t="s">
        <v>186</v>
      </c>
      <c r="K70" s="1" t="str">
        <f t="shared" si="6"/>
        <v>Tunde. Salisu@dame.com</v>
      </c>
      <c r="L70" s="1">
        <f t="shared" si="7"/>
        <v>12</v>
      </c>
      <c r="M70" s="1" t="str">
        <f t="shared" si="8"/>
        <v>IT</v>
      </c>
      <c r="N70" s="1" t="str">
        <f t="shared" si="9"/>
        <v>it</v>
      </c>
      <c r="O70" s="1" t="str">
        <f t="shared" si="10"/>
        <v>It</v>
      </c>
      <c r="P70" s="1" t="str">
        <f t="shared" si="11"/>
        <v>Tunde Salisu</v>
      </c>
    </row>
    <row r="71" spans="1:16">
      <c r="A71" s="1" t="s">
        <v>138</v>
      </c>
      <c r="B71" s="1" t="s">
        <v>73</v>
      </c>
      <c r="C71" s="1" t="s">
        <v>39</v>
      </c>
      <c r="D71" s="1" t="s">
        <v>88</v>
      </c>
      <c r="E71" s="1" t="s">
        <v>46</v>
      </c>
      <c r="F71" s="6">
        <v>329104</v>
      </c>
      <c r="G71" s="1">
        <v>2</v>
      </c>
      <c r="H71" s="1" t="s">
        <v>54</v>
      </c>
      <c r="I71" s="13" t="s">
        <v>179</v>
      </c>
      <c r="J71" s="13" t="s">
        <v>189</v>
      </c>
      <c r="K71" s="1" t="str">
        <f t="shared" si="6"/>
        <v>Chika. Umeh@dame.com</v>
      </c>
      <c r="L71" s="1">
        <f t="shared" si="7"/>
        <v>10</v>
      </c>
      <c r="M71" s="1" t="str">
        <f t="shared" si="8"/>
        <v>IT</v>
      </c>
      <c r="N71" s="1" t="str">
        <f t="shared" si="9"/>
        <v>it</v>
      </c>
      <c r="O71" s="1" t="str">
        <f t="shared" si="10"/>
        <v>It</v>
      </c>
      <c r="P71" s="1" t="str">
        <f t="shared" si="11"/>
        <v>Chika Umeh</v>
      </c>
    </row>
    <row r="72" spans="1:16">
      <c r="A72" s="1" t="s">
        <v>139</v>
      </c>
      <c r="B72" s="1" t="s">
        <v>56</v>
      </c>
      <c r="C72" s="1" t="s">
        <v>39</v>
      </c>
      <c r="D72" s="1" t="s">
        <v>40</v>
      </c>
      <c r="E72" s="1" t="s">
        <v>46</v>
      </c>
      <c r="F72" s="6">
        <v>253559</v>
      </c>
      <c r="G72" s="1">
        <v>4</v>
      </c>
      <c r="H72" s="1" t="s">
        <v>64</v>
      </c>
      <c r="I72" s="13" t="s">
        <v>175</v>
      </c>
      <c r="J72" s="13" t="s">
        <v>185</v>
      </c>
      <c r="K72" s="1" t="str">
        <f t="shared" si="6"/>
        <v>Ibrahim. Musa@dame.com</v>
      </c>
      <c r="L72" s="1">
        <f t="shared" si="7"/>
        <v>12</v>
      </c>
      <c r="M72" s="1" t="str">
        <f t="shared" si="8"/>
        <v>IT</v>
      </c>
      <c r="N72" s="1" t="str">
        <f t="shared" si="9"/>
        <v>it</v>
      </c>
      <c r="O72" s="1" t="str">
        <f t="shared" si="10"/>
        <v>It</v>
      </c>
      <c r="P72" s="1" t="str">
        <f t="shared" si="11"/>
        <v>Ibrahim Musa</v>
      </c>
    </row>
    <row r="73" spans="1:16">
      <c r="A73" s="1" t="s">
        <v>140</v>
      </c>
      <c r="B73" s="1" t="s">
        <v>56</v>
      </c>
      <c r="C73" s="1" t="s">
        <v>44</v>
      </c>
      <c r="D73" s="1" t="s">
        <v>40</v>
      </c>
      <c r="E73" s="1" t="s">
        <v>41</v>
      </c>
      <c r="F73" s="6">
        <v>203632</v>
      </c>
      <c r="G73" s="1">
        <v>4</v>
      </c>
      <c r="H73" s="1" t="s">
        <v>47</v>
      </c>
      <c r="I73" s="13" t="s">
        <v>175</v>
      </c>
      <c r="J73" s="13" t="s">
        <v>185</v>
      </c>
      <c r="K73" s="1" t="str">
        <f t="shared" si="6"/>
        <v>Ibrahim. Musa@dame.com</v>
      </c>
      <c r="L73" s="1">
        <f t="shared" si="7"/>
        <v>12</v>
      </c>
      <c r="M73" s="1" t="str">
        <f t="shared" si="8"/>
        <v>MARKETING</v>
      </c>
      <c r="N73" s="1" t="str">
        <f t="shared" si="9"/>
        <v>marketing</v>
      </c>
      <c r="O73" s="1" t="str">
        <f t="shared" si="10"/>
        <v>Marketing</v>
      </c>
      <c r="P73" s="1" t="str">
        <f t="shared" si="11"/>
        <v>Ibrahim Musa</v>
      </c>
    </row>
    <row r="74" spans="1:16">
      <c r="A74" s="1" t="s">
        <v>141</v>
      </c>
      <c r="B74" s="1" t="s">
        <v>38</v>
      </c>
      <c r="C74" s="1" t="s">
        <v>39</v>
      </c>
      <c r="D74" s="1" t="s">
        <v>71</v>
      </c>
      <c r="E74" s="1" t="s">
        <v>46</v>
      </c>
      <c r="F74" s="6">
        <v>404012</v>
      </c>
      <c r="G74" s="1">
        <v>7</v>
      </c>
      <c r="H74" s="1" t="s">
        <v>57</v>
      </c>
      <c r="I74" s="13" t="s">
        <v>173</v>
      </c>
      <c r="J74" s="13" t="s">
        <v>183</v>
      </c>
      <c r="K74" s="1" t="str">
        <f t="shared" si="6"/>
        <v>Sade. Bassey@dame.com</v>
      </c>
      <c r="L74" s="1">
        <f t="shared" si="7"/>
        <v>11</v>
      </c>
      <c r="M74" s="1" t="str">
        <f t="shared" si="8"/>
        <v>IT</v>
      </c>
      <c r="N74" s="1" t="str">
        <f t="shared" si="9"/>
        <v>it</v>
      </c>
      <c r="O74" s="1" t="str">
        <f t="shared" si="10"/>
        <v>It</v>
      </c>
      <c r="P74" s="1" t="str">
        <f t="shared" si="11"/>
        <v>Sade Bassey</v>
      </c>
    </row>
    <row r="75" spans="1:16">
      <c r="A75" s="1" t="s">
        <v>142</v>
      </c>
      <c r="B75" s="1" t="s">
        <v>83</v>
      </c>
      <c r="C75" s="1" t="s">
        <v>39</v>
      </c>
      <c r="D75" s="1" t="s">
        <v>88</v>
      </c>
      <c r="E75" s="1" t="s">
        <v>41</v>
      </c>
      <c r="F75" s="6">
        <v>493395</v>
      </c>
      <c r="G75" s="1">
        <v>4</v>
      </c>
      <c r="H75" s="1" t="s">
        <v>42</v>
      </c>
      <c r="I75" s="13" t="s">
        <v>180</v>
      </c>
      <c r="J75" s="13" t="s">
        <v>190</v>
      </c>
      <c r="K75" s="1" t="str">
        <f t="shared" si="6"/>
        <v>Maria. Okafor@dame.com</v>
      </c>
      <c r="L75" s="1">
        <f t="shared" si="7"/>
        <v>12</v>
      </c>
      <c r="M75" s="1" t="str">
        <f t="shared" si="8"/>
        <v>IT</v>
      </c>
      <c r="N75" s="1" t="str">
        <f t="shared" si="9"/>
        <v>it</v>
      </c>
      <c r="O75" s="1" t="str">
        <f t="shared" si="10"/>
        <v>It</v>
      </c>
      <c r="P75" s="1" t="str">
        <f t="shared" si="11"/>
        <v>Maria Okafor</v>
      </c>
    </row>
    <row r="76" spans="1:16">
      <c r="A76" s="1" t="s">
        <v>143</v>
      </c>
      <c r="B76" s="1" t="s">
        <v>56</v>
      </c>
      <c r="C76" s="1" t="s">
        <v>50</v>
      </c>
      <c r="D76" s="1" t="s">
        <v>71</v>
      </c>
      <c r="E76" s="1" t="s">
        <v>41</v>
      </c>
      <c r="F76" s="6">
        <v>372679</v>
      </c>
      <c r="G76" s="1">
        <v>2</v>
      </c>
      <c r="H76" s="1" t="s">
        <v>42</v>
      </c>
      <c r="I76" s="13" t="s">
        <v>175</v>
      </c>
      <c r="J76" s="13" t="s">
        <v>185</v>
      </c>
      <c r="K76" s="1" t="str">
        <f t="shared" si="6"/>
        <v>Ibrahim. Musa@dame.com</v>
      </c>
      <c r="L76" s="1">
        <f t="shared" si="7"/>
        <v>12</v>
      </c>
      <c r="M76" s="1" t="str">
        <f t="shared" si="8"/>
        <v>SALES</v>
      </c>
      <c r="N76" s="1" t="str">
        <f t="shared" si="9"/>
        <v>sales</v>
      </c>
      <c r="O76" s="1" t="str">
        <f t="shared" si="10"/>
        <v>Sales</v>
      </c>
      <c r="P76" s="1" t="str">
        <f t="shared" si="11"/>
        <v>Ibrahim Musa</v>
      </c>
    </row>
    <row r="77" spans="1:16">
      <c r="A77" s="1" t="s">
        <v>144</v>
      </c>
      <c r="B77" s="1" t="s">
        <v>49</v>
      </c>
      <c r="C77" s="1" t="s">
        <v>69</v>
      </c>
      <c r="D77" s="1" t="s">
        <v>45</v>
      </c>
      <c r="E77" s="1" t="s">
        <v>46</v>
      </c>
      <c r="F77" s="6">
        <v>464770</v>
      </c>
      <c r="G77" s="1">
        <v>9</v>
      </c>
      <c r="H77" s="1" t="s">
        <v>42</v>
      </c>
      <c r="I77" s="13" t="s">
        <v>174</v>
      </c>
      <c r="J77" s="13" t="s">
        <v>184</v>
      </c>
      <c r="K77" s="1" t="str">
        <f t="shared" si="6"/>
        <v>Faith. Udo@dame.com</v>
      </c>
      <c r="L77" s="1">
        <f t="shared" si="7"/>
        <v>9</v>
      </c>
      <c r="M77" s="1" t="str">
        <f t="shared" si="8"/>
        <v>HR</v>
      </c>
      <c r="N77" s="1" t="str">
        <f t="shared" si="9"/>
        <v>hr</v>
      </c>
      <c r="O77" s="1" t="str">
        <f t="shared" si="10"/>
        <v>Hr</v>
      </c>
      <c r="P77" s="1" t="str">
        <f t="shared" si="11"/>
        <v>Faith Udo</v>
      </c>
    </row>
    <row r="78" spans="1:16">
      <c r="A78" s="1" t="s">
        <v>145</v>
      </c>
      <c r="B78" s="1" t="s">
        <v>83</v>
      </c>
      <c r="C78" s="1" t="s">
        <v>50</v>
      </c>
      <c r="D78" s="1" t="s">
        <v>85</v>
      </c>
      <c r="E78" s="1" t="s">
        <v>46</v>
      </c>
      <c r="F78" s="6">
        <v>360225</v>
      </c>
      <c r="G78" s="1">
        <v>3</v>
      </c>
      <c r="H78" s="1" t="s">
        <v>47</v>
      </c>
      <c r="I78" s="13" t="s">
        <v>180</v>
      </c>
      <c r="J78" s="13" t="s">
        <v>190</v>
      </c>
      <c r="K78" s="1" t="str">
        <f t="shared" si="6"/>
        <v>Maria. Okafor@dame.com</v>
      </c>
      <c r="L78" s="1">
        <f t="shared" si="7"/>
        <v>12</v>
      </c>
      <c r="M78" s="1" t="str">
        <f t="shared" si="8"/>
        <v>SALES</v>
      </c>
      <c r="N78" s="1" t="str">
        <f t="shared" si="9"/>
        <v>sales</v>
      </c>
      <c r="O78" s="1" t="str">
        <f t="shared" si="10"/>
        <v>Sales</v>
      </c>
      <c r="P78" s="1" t="str">
        <f t="shared" si="11"/>
        <v>Maria Okafor</v>
      </c>
    </row>
    <row r="79" spans="1:16">
      <c r="A79" s="1" t="s">
        <v>146</v>
      </c>
      <c r="B79" s="1" t="s">
        <v>56</v>
      </c>
      <c r="C79" s="1" t="s">
        <v>39</v>
      </c>
      <c r="D79" s="1" t="s">
        <v>74</v>
      </c>
      <c r="E79" s="1" t="s">
        <v>41</v>
      </c>
      <c r="F79" s="6">
        <v>422249</v>
      </c>
      <c r="G79" s="1">
        <v>10</v>
      </c>
      <c r="H79" s="1" t="s">
        <v>64</v>
      </c>
      <c r="I79" s="13" t="s">
        <v>175</v>
      </c>
      <c r="J79" s="13" t="s">
        <v>185</v>
      </c>
      <c r="K79" s="1" t="str">
        <f t="shared" si="6"/>
        <v>Ibrahim. Musa@dame.com</v>
      </c>
      <c r="L79" s="1">
        <f t="shared" si="7"/>
        <v>12</v>
      </c>
      <c r="M79" s="1" t="str">
        <f t="shared" si="8"/>
        <v>IT</v>
      </c>
      <c r="N79" s="1" t="str">
        <f t="shared" si="9"/>
        <v>it</v>
      </c>
      <c r="O79" s="1" t="str">
        <f t="shared" si="10"/>
        <v>It</v>
      </c>
      <c r="P79" s="1" t="str">
        <f t="shared" si="11"/>
        <v>Ibrahim Musa</v>
      </c>
    </row>
    <row r="80" spans="1:16">
      <c r="A80" s="1" t="s">
        <v>147</v>
      </c>
      <c r="B80" s="1" t="s">
        <v>59</v>
      </c>
      <c r="C80" s="1" t="s">
        <v>50</v>
      </c>
      <c r="D80" s="1" t="s">
        <v>88</v>
      </c>
      <c r="E80" s="1" t="s">
        <v>46</v>
      </c>
      <c r="F80" s="6">
        <v>343548</v>
      </c>
      <c r="G80" s="1">
        <v>7</v>
      </c>
      <c r="H80" s="1" t="s">
        <v>57</v>
      </c>
      <c r="I80" s="13" t="s">
        <v>176</v>
      </c>
      <c r="J80" s="13" t="s">
        <v>186</v>
      </c>
      <c r="K80" s="1" t="str">
        <f t="shared" si="6"/>
        <v>Tunde. Salisu@dame.com</v>
      </c>
      <c r="L80" s="1">
        <f t="shared" si="7"/>
        <v>12</v>
      </c>
      <c r="M80" s="1" t="str">
        <f t="shared" si="8"/>
        <v>SALES</v>
      </c>
      <c r="N80" s="1" t="str">
        <f t="shared" si="9"/>
        <v>sales</v>
      </c>
      <c r="O80" s="1" t="str">
        <f t="shared" si="10"/>
        <v>Sales</v>
      </c>
      <c r="P80" s="1" t="str">
        <f t="shared" si="11"/>
        <v>Tunde Salisu</v>
      </c>
    </row>
    <row r="81" spans="1:18">
      <c r="A81" s="1" t="s">
        <v>148</v>
      </c>
      <c r="B81" s="1" t="s">
        <v>73</v>
      </c>
      <c r="C81" s="1" t="s">
        <v>44</v>
      </c>
      <c r="D81" s="1" t="s">
        <v>45</v>
      </c>
      <c r="E81" s="1" t="s">
        <v>41</v>
      </c>
      <c r="F81" s="6">
        <v>429470</v>
      </c>
      <c r="G81" s="1">
        <v>3</v>
      </c>
      <c r="H81" s="1" t="s">
        <v>42</v>
      </c>
      <c r="I81" s="13" t="s">
        <v>179</v>
      </c>
      <c r="J81" s="13" t="s">
        <v>189</v>
      </c>
      <c r="K81" s="1" t="str">
        <f t="shared" si="6"/>
        <v>Chika. Umeh@dame.com</v>
      </c>
      <c r="L81" s="1">
        <f t="shared" si="7"/>
        <v>10</v>
      </c>
      <c r="M81" s="1" t="str">
        <f t="shared" si="8"/>
        <v>MARKETING</v>
      </c>
      <c r="N81" s="1" t="str">
        <f t="shared" si="9"/>
        <v>marketing</v>
      </c>
      <c r="O81" s="1" t="str">
        <f t="shared" si="10"/>
        <v>Marketing</v>
      </c>
      <c r="P81" s="1" t="str">
        <f t="shared" si="11"/>
        <v>Chika Umeh</v>
      </c>
    </row>
    <row r="82" spans="1:18">
      <c r="A82" s="1" t="s">
        <v>149</v>
      </c>
      <c r="B82" s="1" t="s">
        <v>83</v>
      </c>
      <c r="C82" s="1" t="s">
        <v>69</v>
      </c>
      <c r="D82" s="1" t="s">
        <v>60</v>
      </c>
      <c r="E82" s="1" t="s">
        <v>46</v>
      </c>
      <c r="F82" s="6">
        <v>228264</v>
      </c>
      <c r="G82" s="1">
        <v>5</v>
      </c>
      <c r="H82" s="1" t="s">
        <v>57</v>
      </c>
      <c r="I82" s="13" t="s">
        <v>180</v>
      </c>
      <c r="J82" s="13" t="s">
        <v>190</v>
      </c>
      <c r="K82" s="1" t="str">
        <f t="shared" si="6"/>
        <v>Maria. Okafor@dame.com</v>
      </c>
      <c r="L82" s="1">
        <f t="shared" si="7"/>
        <v>12</v>
      </c>
      <c r="M82" s="1" t="str">
        <f t="shared" si="8"/>
        <v>HR</v>
      </c>
      <c r="N82" s="1" t="str">
        <f t="shared" si="9"/>
        <v>hr</v>
      </c>
      <c r="O82" s="1" t="str">
        <f t="shared" si="10"/>
        <v>Hr</v>
      </c>
      <c r="P82" s="1" t="str">
        <f t="shared" si="11"/>
        <v>Maria Okafor</v>
      </c>
    </row>
    <row r="83" spans="1:18">
      <c r="A83" s="1" t="s">
        <v>150</v>
      </c>
      <c r="B83" s="1" t="s">
        <v>62</v>
      </c>
      <c r="C83" s="1" t="s">
        <v>50</v>
      </c>
      <c r="D83" s="1" t="s">
        <v>53</v>
      </c>
      <c r="E83" s="1" t="s">
        <v>41</v>
      </c>
      <c r="F83" s="6">
        <v>481733</v>
      </c>
      <c r="G83" s="1">
        <v>7</v>
      </c>
      <c r="H83" s="1" t="s">
        <v>47</v>
      </c>
      <c r="I83" s="13" t="s">
        <v>177</v>
      </c>
      <c r="J83" s="13" t="s">
        <v>187</v>
      </c>
      <c r="K83" s="1" t="str">
        <f t="shared" si="6"/>
        <v>James. Obi@dame.com</v>
      </c>
      <c r="L83" s="1">
        <f t="shared" si="7"/>
        <v>9</v>
      </c>
      <c r="M83" s="1" t="str">
        <f t="shared" si="8"/>
        <v>SALES</v>
      </c>
      <c r="N83" s="1" t="str">
        <f t="shared" si="9"/>
        <v>sales</v>
      </c>
      <c r="O83" s="1" t="str">
        <f t="shared" si="10"/>
        <v>Sales</v>
      </c>
      <c r="P83" s="1" t="str">
        <f t="shared" si="11"/>
        <v>James Obi</v>
      </c>
    </row>
    <row r="84" spans="1:18">
      <c r="A84" s="1" t="s">
        <v>151</v>
      </c>
      <c r="B84" s="1" t="s">
        <v>62</v>
      </c>
      <c r="C84" s="1" t="s">
        <v>39</v>
      </c>
      <c r="D84" s="1" t="s">
        <v>40</v>
      </c>
      <c r="E84" s="1" t="s">
        <v>41</v>
      </c>
      <c r="F84" s="6">
        <v>253954</v>
      </c>
      <c r="G84" s="1">
        <v>2</v>
      </c>
      <c r="H84" s="1" t="s">
        <v>47</v>
      </c>
      <c r="I84" s="13" t="s">
        <v>177</v>
      </c>
      <c r="J84" s="13" t="s">
        <v>187</v>
      </c>
      <c r="K84" s="1" t="str">
        <f t="shared" si="6"/>
        <v>James. Obi@dame.com</v>
      </c>
      <c r="L84" s="1">
        <f t="shared" si="7"/>
        <v>9</v>
      </c>
      <c r="M84" s="1" t="str">
        <f t="shared" si="8"/>
        <v>IT</v>
      </c>
      <c r="N84" s="1" t="str">
        <f t="shared" si="9"/>
        <v>it</v>
      </c>
      <c r="O84" s="1" t="str">
        <f t="shared" si="10"/>
        <v>It</v>
      </c>
      <c r="P84" s="1" t="str">
        <f t="shared" si="11"/>
        <v>James Obi</v>
      </c>
    </row>
    <row r="85" spans="1:18">
      <c r="A85" s="1" t="s">
        <v>152</v>
      </c>
      <c r="B85" s="1" t="s">
        <v>62</v>
      </c>
      <c r="C85" s="1" t="s">
        <v>39</v>
      </c>
      <c r="D85" s="1" t="s">
        <v>74</v>
      </c>
      <c r="E85" s="1" t="s">
        <v>41</v>
      </c>
      <c r="F85" s="6">
        <v>338029</v>
      </c>
      <c r="G85" s="1">
        <v>6</v>
      </c>
      <c r="H85" s="1" t="s">
        <v>64</v>
      </c>
      <c r="I85" s="13" t="s">
        <v>177</v>
      </c>
      <c r="J85" s="13" t="s">
        <v>187</v>
      </c>
      <c r="K85" s="1" t="str">
        <f t="shared" si="6"/>
        <v>James. Obi@dame.com</v>
      </c>
      <c r="L85" s="1">
        <f t="shared" si="7"/>
        <v>9</v>
      </c>
      <c r="M85" s="1" t="str">
        <f t="shared" si="8"/>
        <v>IT</v>
      </c>
      <c r="N85" s="1" t="str">
        <f t="shared" si="9"/>
        <v>it</v>
      </c>
      <c r="O85" s="1" t="str">
        <f t="shared" si="10"/>
        <v>It</v>
      </c>
      <c r="P85" s="1" t="str">
        <f t="shared" si="11"/>
        <v>James Obi</v>
      </c>
    </row>
    <row r="86" spans="1:18">
      <c r="A86" s="1" t="s">
        <v>153</v>
      </c>
      <c r="B86" s="1" t="s">
        <v>92</v>
      </c>
      <c r="C86" s="1" t="s">
        <v>52</v>
      </c>
      <c r="D86" s="1" t="s">
        <v>85</v>
      </c>
      <c r="E86" s="1" t="s">
        <v>41</v>
      </c>
      <c r="F86" s="6">
        <v>340723</v>
      </c>
      <c r="G86" s="1">
        <v>7</v>
      </c>
      <c r="H86" s="1" t="s">
        <v>42</v>
      </c>
      <c r="I86" s="13" t="s">
        <v>181</v>
      </c>
      <c r="J86" s="13" t="s">
        <v>191</v>
      </c>
      <c r="K86" s="1" t="str">
        <f t="shared" si="6"/>
        <v>Ngozi. Bello@dame.com</v>
      </c>
      <c r="L86" s="1">
        <f t="shared" si="7"/>
        <v>11</v>
      </c>
      <c r="M86" s="1" t="str">
        <f t="shared" si="8"/>
        <v>FINANCE</v>
      </c>
      <c r="N86" s="1" t="str">
        <f t="shared" si="9"/>
        <v>finance</v>
      </c>
      <c r="O86" s="1" t="str">
        <f t="shared" si="10"/>
        <v>Finance</v>
      </c>
      <c r="P86" s="1" t="str">
        <f t="shared" si="11"/>
        <v>Ngozi Bello</v>
      </c>
    </row>
    <row r="87" spans="1:18">
      <c r="A87" s="1" t="s">
        <v>154</v>
      </c>
      <c r="B87" s="1" t="s">
        <v>49</v>
      </c>
      <c r="C87" s="1" t="s">
        <v>44</v>
      </c>
      <c r="D87" s="1" t="s">
        <v>40</v>
      </c>
      <c r="E87" s="1" t="s">
        <v>41</v>
      </c>
      <c r="F87" s="6">
        <v>216138</v>
      </c>
      <c r="G87" s="1">
        <v>2</v>
      </c>
      <c r="H87" s="1" t="s">
        <v>42</v>
      </c>
      <c r="I87" s="13" t="s">
        <v>174</v>
      </c>
      <c r="J87" s="13" t="s">
        <v>184</v>
      </c>
      <c r="K87" s="1" t="str">
        <f t="shared" si="6"/>
        <v>Faith. Udo@dame.com</v>
      </c>
      <c r="L87" s="1">
        <f t="shared" si="7"/>
        <v>9</v>
      </c>
      <c r="M87" s="1" t="str">
        <f t="shared" si="8"/>
        <v>MARKETING</v>
      </c>
      <c r="N87" s="1" t="str">
        <f t="shared" si="9"/>
        <v>marketing</v>
      </c>
      <c r="O87" s="1" t="str">
        <f t="shared" si="10"/>
        <v>Marketing</v>
      </c>
      <c r="P87" s="1" t="str">
        <f t="shared" si="11"/>
        <v>Faith Udo</v>
      </c>
    </row>
    <row r="88" spans="1:18">
      <c r="A88" s="1" t="s">
        <v>155</v>
      </c>
      <c r="B88" s="1" t="s">
        <v>73</v>
      </c>
      <c r="C88" s="1" t="s">
        <v>39</v>
      </c>
      <c r="D88" s="1" t="s">
        <v>71</v>
      </c>
      <c r="E88" s="1" t="s">
        <v>46</v>
      </c>
      <c r="F88" s="6">
        <v>490025</v>
      </c>
      <c r="G88" s="1">
        <v>8</v>
      </c>
      <c r="H88" s="1" t="s">
        <v>47</v>
      </c>
      <c r="I88" s="13" t="s">
        <v>179</v>
      </c>
      <c r="J88" s="13" t="s">
        <v>189</v>
      </c>
      <c r="K88" s="1" t="str">
        <f t="shared" si="6"/>
        <v>Chika. Umeh@dame.com</v>
      </c>
      <c r="L88" s="1">
        <f t="shared" si="7"/>
        <v>10</v>
      </c>
      <c r="M88" s="1" t="str">
        <f t="shared" si="8"/>
        <v>IT</v>
      </c>
      <c r="N88" s="1" t="str">
        <f t="shared" si="9"/>
        <v>it</v>
      </c>
      <c r="O88" s="1" t="str">
        <f t="shared" si="10"/>
        <v>It</v>
      </c>
      <c r="P88" s="1" t="str">
        <f t="shared" si="11"/>
        <v>Chika Umeh</v>
      </c>
    </row>
    <row r="89" spans="1:18">
      <c r="A89" s="1" t="s">
        <v>156</v>
      </c>
      <c r="B89" s="1" t="s">
        <v>73</v>
      </c>
      <c r="C89" s="1" t="s">
        <v>44</v>
      </c>
      <c r="D89" s="1" t="s">
        <v>66</v>
      </c>
      <c r="E89" s="1" t="s">
        <v>41</v>
      </c>
      <c r="F89" s="6">
        <v>339580</v>
      </c>
      <c r="G89" s="1">
        <v>2</v>
      </c>
      <c r="H89" s="1" t="s">
        <v>54</v>
      </c>
      <c r="I89" s="13" t="s">
        <v>179</v>
      </c>
      <c r="J89" s="13" t="s">
        <v>189</v>
      </c>
      <c r="K89" s="1" t="str">
        <f t="shared" si="6"/>
        <v>Chika. Umeh@dame.com</v>
      </c>
      <c r="L89" s="1">
        <f t="shared" si="7"/>
        <v>10</v>
      </c>
      <c r="M89" s="1" t="str">
        <f t="shared" si="8"/>
        <v>MARKETING</v>
      </c>
      <c r="N89" s="1" t="str">
        <f t="shared" si="9"/>
        <v>marketing</v>
      </c>
      <c r="O89" s="1" t="str">
        <f t="shared" si="10"/>
        <v>Marketing</v>
      </c>
      <c r="P89" s="1" t="str">
        <f t="shared" si="11"/>
        <v>Chika Umeh</v>
      </c>
    </row>
    <row r="90" spans="1:18">
      <c r="A90" s="1" t="s">
        <v>157</v>
      </c>
      <c r="B90" s="1" t="s">
        <v>56</v>
      </c>
      <c r="C90" s="1" t="s">
        <v>69</v>
      </c>
      <c r="D90" s="1" t="s">
        <v>74</v>
      </c>
      <c r="E90" s="1" t="s">
        <v>46</v>
      </c>
      <c r="F90" s="6">
        <v>325782</v>
      </c>
      <c r="G90" s="1">
        <v>8</v>
      </c>
      <c r="H90" s="1" t="s">
        <v>54</v>
      </c>
      <c r="I90" s="13" t="s">
        <v>175</v>
      </c>
      <c r="J90" s="13" t="s">
        <v>185</v>
      </c>
      <c r="K90" s="1" t="str">
        <f t="shared" si="6"/>
        <v>Ibrahim. Musa@dame.com</v>
      </c>
      <c r="L90" s="1">
        <f t="shared" si="7"/>
        <v>12</v>
      </c>
      <c r="M90" s="1" t="str">
        <f t="shared" si="8"/>
        <v>HR</v>
      </c>
      <c r="N90" s="1" t="str">
        <f t="shared" si="9"/>
        <v>hr</v>
      </c>
      <c r="O90" s="1" t="str">
        <f t="shared" si="10"/>
        <v>Hr</v>
      </c>
      <c r="P90" s="1" t="str">
        <f t="shared" si="11"/>
        <v>Ibrahim Musa</v>
      </c>
    </row>
    <row r="91" spans="1:18">
      <c r="A91" s="1" t="s">
        <v>158</v>
      </c>
      <c r="B91" s="1" t="s">
        <v>59</v>
      </c>
      <c r="C91" s="1" t="s">
        <v>39</v>
      </c>
      <c r="D91" s="1" t="s">
        <v>77</v>
      </c>
      <c r="E91" s="1" t="s">
        <v>41</v>
      </c>
      <c r="F91" s="6">
        <v>397430</v>
      </c>
      <c r="G91" s="1">
        <v>10</v>
      </c>
      <c r="H91" s="1" t="s">
        <v>57</v>
      </c>
      <c r="I91" s="13" t="s">
        <v>176</v>
      </c>
      <c r="J91" s="13" t="s">
        <v>186</v>
      </c>
      <c r="K91" s="1" t="str">
        <f t="shared" si="6"/>
        <v>Tunde. Salisu@dame.com</v>
      </c>
      <c r="L91" s="1">
        <f t="shared" si="7"/>
        <v>12</v>
      </c>
      <c r="M91" s="1" t="str">
        <f t="shared" si="8"/>
        <v>IT</v>
      </c>
      <c r="N91" s="1" t="str">
        <f t="shared" si="9"/>
        <v>it</v>
      </c>
      <c r="O91" s="1" t="str">
        <f t="shared" si="10"/>
        <v>It</v>
      </c>
      <c r="P91" s="1" t="str">
        <f t="shared" si="11"/>
        <v>Tunde Salisu</v>
      </c>
    </row>
    <row r="92" spans="1:18">
      <c r="A92" s="1" t="s">
        <v>159</v>
      </c>
      <c r="B92" s="1" t="s">
        <v>92</v>
      </c>
      <c r="C92" s="1" t="s">
        <v>52</v>
      </c>
      <c r="D92" s="1" t="s">
        <v>74</v>
      </c>
      <c r="E92" s="1" t="s">
        <v>41</v>
      </c>
      <c r="F92" s="6">
        <v>300847</v>
      </c>
      <c r="G92" s="1">
        <v>4</v>
      </c>
      <c r="H92" s="1" t="s">
        <v>42</v>
      </c>
      <c r="I92" s="13" t="s">
        <v>181</v>
      </c>
      <c r="J92" s="13" t="s">
        <v>191</v>
      </c>
      <c r="K92" s="1" t="str">
        <f t="shared" si="6"/>
        <v>Ngozi. Bello@dame.com</v>
      </c>
      <c r="L92" s="1">
        <f t="shared" si="7"/>
        <v>11</v>
      </c>
      <c r="M92" s="1" t="str">
        <f t="shared" si="8"/>
        <v>FINANCE</v>
      </c>
      <c r="N92" s="1" t="str">
        <f t="shared" si="9"/>
        <v>finance</v>
      </c>
      <c r="O92" s="1" t="str">
        <f t="shared" si="10"/>
        <v>Finance</v>
      </c>
      <c r="P92" s="1" t="str">
        <f t="shared" si="11"/>
        <v>Ngozi Bello</v>
      </c>
    </row>
    <row r="93" spans="1:18">
      <c r="A93" s="1" t="s">
        <v>160</v>
      </c>
      <c r="B93" s="1" t="s">
        <v>62</v>
      </c>
      <c r="C93" s="1" t="s">
        <v>39</v>
      </c>
      <c r="D93" s="1" t="s">
        <v>45</v>
      </c>
      <c r="E93" s="1" t="s">
        <v>41</v>
      </c>
      <c r="F93" s="6">
        <v>265948</v>
      </c>
      <c r="G93" s="1">
        <v>6</v>
      </c>
      <c r="H93" s="1" t="s">
        <v>47</v>
      </c>
      <c r="I93" s="13" t="s">
        <v>177</v>
      </c>
      <c r="J93" s="13" t="s">
        <v>187</v>
      </c>
      <c r="K93" s="1" t="str">
        <f t="shared" si="6"/>
        <v>James. Obi@dame.com</v>
      </c>
      <c r="L93" s="1">
        <f t="shared" si="7"/>
        <v>9</v>
      </c>
      <c r="M93" s="1" t="str">
        <f t="shared" si="8"/>
        <v>IT</v>
      </c>
      <c r="N93" s="1" t="str">
        <f t="shared" si="9"/>
        <v>it</v>
      </c>
      <c r="O93" s="1" t="str">
        <f t="shared" si="10"/>
        <v>It</v>
      </c>
      <c r="P93" s="1" t="str">
        <f t="shared" si="11"/>
        <v>James Obi</v>
      </c>
    </row>
    <row r="94" spans="1:18">
      <c r="A94" s="1" t="s">
        <v>161</v>
      </c>
      <c r="B94" s="1" t="s">
        <v>59</v>
      </c>
      <c r="C94" s="1" t="s">
        <v>69</v>
      </c>
      <c r="D94" s="1" t="s">
        <v>66</v>
      </c>
      <c r="E94" s="1" t="s">
        <v>46</v>
      </c>
      <c r="F94" s="6">
        <v>341060</v>
      </c>
      <c r="G94" s="1">
        <v>7</v>
      </c>
      <c r="H94" s="1" t="s">
        <v>64</v>
      </c>
      <c r="I94" s="13" t="s">
        <v>176</v>
      </c>
      <c r="J94" s="13" t="s">
        <v>186</v>
      </c>
      <c r="K94" s="1" t="str">
        <f t="shared" si="6"/>
        <v>Tunde. Salisu@dame.com</v>
      </c>
      <c r="L94" s="1">
        <f t="shared" si="7"/>
        <v>12</v>
      </c>
      <c r="M94" s="1" t="str">
        <f t="shared" si="8"/>
        <v>HR</v>
      </c>
      <c r="N94" s="1" t="str">
        <f t="shared" si="9"/>
        <v>hr</v>
      </c>
      <c r="O94" s="1" t="str">
        <f t="shared" si="10"/>
        <v>Hr</v>
      </c>
      <c r="P94" s="1" t="str">
        <f t="shared" si="11"/>
        <v>Tunde Salisu</v>
      </c>
    </row>
    <row r="95" spans="1:18">
      <c r="A95" s="1" t="s">
        <v>162</v>
      </c>
      <c r="B95" s="1" t="s">
        <v>92</v>
      </c>
      <c r="C95" s="1" t="s">
        <v>44</v>
      </c>
      <c r="D95" s="1" t="s">
        <v>53</v>
      </c>
      <c r="E95" s="1" t="s">
        <v>46</v>
      </c>
      <c r="F95" s="6">
        <v>326977</v>
      </c>
      <c r="G95" s="1">
        <v>4</v>
      </c>
      <c r="H95" s="1" t="s">
        <v>47</v>
      </c>
      <c r="I95" s="13" t="s">
        <v>181</v>
      </c>
      <c r="J95" s="13" t="s">
        <v>191</v>
      </c>
      <c r="K95" s="1" t="str">
        <f t="shared" si="6"/>
        <v>Ngozi. Bello@dame.com</v>
      </c>
      <c r="L95" s="1">
        <f t="shared" si="7"/>
        <v>11</v>
      </c>
      <c r="M95" s="1" t="str">
        <f t="shared" si="8"/>
        <v>MARKETING</v>
      </c>
      <c r="N95" s="1" t="str">
        <f t="shared" si="9"/>
        <v>marketing</v>
      </c>
      <c r="O95" s="1" t="str">
        <f t="shared" si="10"/>
        <v>Marketing</v>
      </c>
      <c r="P95" s="1" t="str">
        <f t="shared" si="11"/>
        <v>Ngozi Bello</v>
      </c>
    </row>
    <row r="96" spans="1:18">
      <c r="A96" s="1" t="s">
        <v>163</v>
      </c>
      <c r="B96" s="1" t="s">
        <v>59</v>
      </c>
      <c r="C96" s="1" t="s">
        <v>39</v>
      </c>
      <c r="D96" s="1" t="s">
        <v>40</v>
      </c>
      <c r="E96" s="1" t="s">
        <v>41</v>
      </c>
      <c r="F96" s="6">
        <v>433031</v>
      </c>
      <c r="G96" s="1">
        <v>1</v>
      </c>
      <c r="H96" s="1" t="s">
        <v>47</v>
      </c>
      <c r="I96" s="13" t="s">
        <v>176</v>
      </c>
      <c r="J96" s="13" t="s">
        <v>186</v>
      </c>
      <c r="K96" s="1" t="str">
        <f t="shared" si="6"/>
        <v>Tunde. Salisu@dame.com</v>
      </c>
      <c r="L96" s="1">
        <f t="shared" si="7"/>
        <v>12</v>
      </c>
      <c r="M96" s="1" t="str">
        <f t="shared" si="8"/>
        <v>IT</v>
      </c>
      <c r="N96" s="1" t="str">
        <f t="shared" si="9"/>
        <v>it</v>
      </c>
      <c r="O96" s="1" t="str">
        <f t="shared" si="10"/>
        <v>It</v>
      </c>
      <c r="P96" s="1" t="str">
        <f t="shared" si="11"/>
        <v>Tunde Salisu</v>
      </c>
      <c r="R96" t="s">
        <v>193</v>
      </c>
    </row>
    <row r="97" spans="1:16">
      <c r="A97" s="1" t="s">
        <v>164</v>
      </c>
      <c r="B97" s="1" t="s">
        <v>56</v>
      </c>
      <c r="C97" s="1" t="s">
        <v>44</v>
      </c>
      <c r="D97" s="1" t="s">
        <v>60</v>
      </c>
      <c r="E97" s="1" t="s">
        <v>41</v>
      </c>
      <c r="F97" s="6">
        <v>421034</v>
      </c>
      <c r="G97" s="1">
        <v>3</v>
      </c>
      <c r="H97" s="1" t="s">
        <v>54</v>
      </c>
      <c r="I97" s="13" t="s">
        <v>175</v>
      </c>
      <c r="J97" s="13" t="s">
        <v>185</v>
      </c>
      <c r="K97" s="1" t="str">
        <f t="shared" si="6"/>
        <v>Ibrahim. Musa@dame.com</v>
      </c>
      <c r="L97" s="1">
        <f t="shared" si="7"/>
        <v>12</v>
      </c>
      <c r="M97" s="1" t="str">
        <f t="shared" si="8"/>
        <v>MARKETING</v>
      </c>
      <c r="N97" s="1" t="str">
        <f t="shared" si="9"/>
        <v>marketing</v>
      </c>
      <c r="O97" s="1" t="str">
        <f t="shared" si="10"/>
        <v>Marketing</v>
      </c>
      <c r="P97" s="1" t="str">
        <f t="shared" si="11"/>
        <v>Ibrahim Musa</v>
      </c>
    </row>
    <row r="98" spans="1:16">
      <c r="A98" s="1" t="s">
        <v>165</v>
      </c>
      <c r="B98" s="1" t="s">
        <v>49</v>
      </c>
      <c r="C98" s="1" t="s">
        <v>69</v>
      </c>
      <c r="D98" s="1" t="s">
        <v>45</v>
      </c>
      <c r="E98" s="1" t="s">
        <v>41</v>
      </c>
      <c r="F98" s="6">
        <v>363199</v>
      </c>
      <c r="G98" s="1">
        <v>4</v>
      </c>
      <c r="H98" s="1" t="s">
        <v>57</v>
      </c>
      <c r="I98" s="13" t="s">
        <v>174</v>
      </c>
      <c r="J98" s="13" t="s">
        <v>184</v>
      </c>
      <c r="K98" s="1" t="str">
        <f t="shared" si="6"/>
        <v>Faith. Udo@dame.com</v>
      </c>
      <c r="L98" s="1">
        <f t="shared" si="7"/>
        <v>9</v>
      </c>
      <c r="M98" s="1" t="str">
        <f t="shared" si="8"/>
        <v>HR</v>
      </c>
      <c r="N98" s="1" t="str">
        <f t="shared" si="9"/>
        <v>hr</v>
      </c>
      <c r="O98" s="1" t="str">
        <f t="shared" si="10"/>
        <v>Hr</v>
      </c>
      <c r="P98" s="1" t="str">
        <f t="shared" si="11"/>
        <v>Faith Udo</v>
      </c>
    </row>
    <row r="99" spans="1:16">
      <c r="A99" s="1" t="s">
        <v>166</v>
      </c>
      <c r="B99" s="1" t="s">
        <v>59</v>
      </c>
      <c r="C99" s="1" t="s">
        <v>44</v>
      </c>
      <c r="D99" s="1" t="s">
        <v>74</v>
      </c>
      <c r="E99" s="1" t="s">
        <v>41</v>
      </c>
      <c r="F99" s="6">
        <v>399940</v>
      </c>
      <c r="G99" s="1">
        <v>7</v>
      </c>
      <c r="H99" s="1" t="s">
        <v>42</v>
      </c>
      <c r="I99" s="13" t="s">
        <v>176</v>
      </c>
      <c r="J99" s="13" t="s">
        <v>186</v>
      </c>
      <c r="K99" s="1" t="str">
        <f t="shared" si="6"/>
        <v>Tunde. Salisu@dame.com</v>
      </c>
      <c r="L99" s="1">
        <f t="shared" si="7"/>
        <v>12</v>
      </c>
      <c r="M99" s="1" t="str">
        <f t="shared" si="8"/>
        <v>MARKETING</v>
      </c>
      <c r="N99" s="1" t="str">
        <f t="shared" si="9"/>
        <v>marketing</v>
      </c>
      <c r="O99" s="1" t="str">
        <f t="shared" si="10"/>
        <v>Marketing</v>
      </c>
      <c r="P99" s="1" t="str">
        <f t="shared" si="11"/>
        <v>Tunde Salisu</v>
      </c>
    </row>
    <row r="100" spans="1:16">
      <c r="A100" s="1" t="s">
        <v>167</v>
      </c>
      <c r="B100" s="1" t="s">
        <v>62</v>
      </c>
      <c r="C100" s="1" t="s">
        <v>39</v>
      </c>
      <c r="D100" s="1" t="s">
        <v>85</v>
      </c>
      <c r="E100" s="1" t="s">
        <v>41</v>
      </c>
      <c r="F100" s="6">
        <v>231891</v>
      </c>
      <c r="G100" s="1">
        <v>4</v>
      </c>
      <c r="H100" s="1" t="s">
        <v>57</v>
      </c>
      <c r="I100" s="13" t="s">
        <v>177</v>
      </c>
      <c r="J100" s="13" t="s">
        <v>187</v>
      </c>
      <c r="K100" s="1" t="str">
        <f t="shared" si="6"/>
        <v>James. Obi@dame.com</v>
      </c>
      <c r="L100" s="1">
        <f t="shared" si="7"/>
        <v>9</v>
      </c>
      <c r="M100" s="1" t="str">
        <f t="shared" si="8"/>
        <v>IT</v>
      </c>
      <c r="N100" s="1" t="str">
        <f t="shared" si="9"/>
        <v>it</v>
      </c>
      <c r="O100" s="1" t="str">
        <f t="shared" si="10"/>
        <v>It</v>
      </c>
      <c r="P100" s="1" t="str">
        <f t="shared" si="11"/>
        <v>James Obi</v>
      </c>
    </row>
    <row r="101" spans="1:16">
      <c r="A101" s="1" t="s">
        <v>168</v>
      </c>
      <c r="B101" s="1" t="s">
        <v>49</v>
      </c>
      <c r="C101" s="1" t="s">
        <v>50</v>
      </c>
      <c r="D101" s="1" t="s">
        <v>88</v>
      </c>
      <c r="E101" s="1" t="s">
        <v>41</v>
      </c>
      <c r="F101" s="6">
        <v>203199</v>
      </c>
      <c r="G101" s="1">
        <v>8</v>
      </c>
      <c r="H101" s="1" t="s">
        <v>64</v>
      </c>
      <c r="I101" s="13" t="s">
        <v>174</v>
      </c>
      <c r="J101" s="13" t="s">
        <v>184</v>
      </c>
      <c r="K101" s="1" t="str">
        <f t="shared" si="6"/>
        <v>Faith. Udo@dame.com</v>
      </c>
      <c r="L101" s="1">
        <f t="shared" si="7"/>
        <v>9</v>
      </c>
      <c r="M101" s="1" t="str">
        <f t="shared" si="8"/>
        <v>SALES</v>
      </c>
      <c r="N101" s="1" t="str">
        <f t="shared" si="9"/>
        <v>sales</v>
      </c>
      <c r="O101" s="1" t="str">
        <f t="shared" si="10"/>
        <v>Sales</v>
      </c>
      <c r="P101" s="1" t="str">
        <f t="shared" si="11"/>
        <v>Faith Udo</v>
      </c>
    </row>
    <row r="102" spans="1:16">
      <c r="F102" s="7"/>
    </row>
    <row r="106" spans="1:16">
      <c r="D106" s="4"/>
      <c r="K106" s="8"/>
    </row>
    <row r="107" spans="1:16">
      <c r="E107" s="11" t="s">
        <v>198</v>
      </c>
      <c r="F107" s="12"/>
    </row>
    <row r="108" spans="1:16">
      <c r="E108" s="9" t="s">
        <v>199</v>
      </c>
      <c r="F108" s="10">
        <f>SUM(F2:F101)</f>
        <v>34862380</v>
      </c>
    </row>
    <row r="109" spans="1:16">
      <c r="E109" s="9" t="s">
        <v>200</v>
      </c>
      <c r="F109" s="10">
        <f>AVERAGE(F2:F101)</f>
        <v>348623.8</v>
      </c>
    </row>
    <row r="110" spans="1:16">
      <c r="E110" s="9" t="s">
        <v>201</v>
      </c>
      <c r="F110" s="9">
        <f>COUNTA(A2:A101)</f>
        <v>100</v>
      </c>
    </row>
    <row r="113" spans="4:6">
      <c r="E113" s="12" t="s">
        <v>202</v>
      </c>
      <c r="F113" s="1"/>
    </row>
    <row r="114" spans="4:6">
      <c r="E114" s="9" t="s">
        <v>203</v>
      </c>
      <c r="F114" s="6">
        <f>SUMIF(C2:C101,"Sales",F2:F101)</f>
        <v>6081869</v>
      </c>
    </row>
    <row r="115" spans="4:6">
      <c r="E115" s="9" t="s">
        <v>204</v>
      </c>
      <c r="F115" s="6">
        <f>AVERAGEIF(C2:C101,"HR",F2:F101)</f>
        <v>353549.25</v>
      </c>
    </row>
    <row r="116" spans="4:6">
      <c r="D116" t="s">
        <v>193</v>
      </c>
      <c r="E116" s="9" t="s">
        <v>205</v>
      </c>
      <c r="F116" s="6">
        <f>SUMIFS(F2:F101,H2:H101,"Lagos",G2:G101,"&gt;3")</f>
        <v>5470326</v>
      </c>
    </row>
    <row r="117" spans="4:6">
      <c r="E117" s="9" t="s">
        <v>206</v>
      </c>
      <c r="F117" s="6">
        <f>AVERAGEIFS(F2:F101,E2:E101,"Female",H2:H101,"Lagos")</f>
        <v>315870.8</v>
      </c>
    </row>
    <row r="118" spans="4:6">
      <c r="E118" s="9" t="s">
        <v>207</v>
      </c>
      <c r="F118" s="1">
        <f>COUNTIFS(E2:E101,"Male",H2:H101,"Lagos")</f>
        <v>15</v>
      </c>
    </row>
    <row r="119" spans="4:6">
      <c r="E119" s="9" t="s">
        <v>208</v>
      </c>
      <c r="F119" s="6">
        <f>_xlfn.MAXIFS(F2:F101,C2:C101,"IT")</f>
        <v>493395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23106RN0DA</dc:creator>
  <cp:lastModifiedBy>Primex</cp:lastModifiedBy>
  <dcterms:created xsi:type="dcterms:W3CDTF">2025-10-30T11:28:00Z</dcterms:created>
  <dcterms:modified xsi:type="dcterms:W3CDTF">2026-10-19T21:09:51Z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97ec8615e3e4455cb12378ef6e6e8bb3</vt:lpwstr>
  </property>
  <property fmtid="{D5CDD505-2E9C-101B-9397-08002B2CF9AE}" pid="3" name="KSOProductBuildVer">
    <vt:lpwstr>1033-12.1.22533.22533</vt:lpwstr>
  </property>
</Properties>
</file>